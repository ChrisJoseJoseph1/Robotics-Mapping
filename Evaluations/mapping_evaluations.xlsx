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jjth\Desktop\Coding\COMPSYS792\compsys792b_files\Evals\raw\"/>
    </mc:Choice>
  </mc:AlternateContent>
  <xr:revisionPtr revIDLastSave="0" documentId="13_ncr:1_{A409D583-663F-4BE2-A528-7861BF20CD19}" xr6:coauthVersionLast="47" xr6:coauthVersionMax="47" xr10:uidLastSave="{00000000-0000-0000-0000-000000000000}"/>
  <bookViews>
    <workbookView xWindow="-108" yWindow="-108" windowWidth="23256" windowHeight="13176" activeTab="5" xr2:uid="{00000000-000D-0000-FFFF-FFFF00000000}"/>
  </bookViews>
  <sheets>
    <sheet name="Sheet1" sheetId="1" r:id="rId1"/>
    <sheet name="Sheet2" sheetId="2" r:id="rId2"/>
    <sheet name="perMap" sheetId="6" r:id="rId3"/>
    <sheet name="perSite" sheetId="3" r:id="rId4"/>
    <sheet name="IVSO" sheetId="4" r:id="rId5"/>
    <sheet name="Overall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5" l="1" a="1"/>
  <c r="B9" i="5" s="1"/>
  <c r="A10" i="5" a="1"/>
  <c r="A10" i="5" s="1"/>
  <c r="AI50" i="2" a="1"/>
  <c r="AI50" i="2" s="1"/>
  <c r="AH50" i="2" a="1"/>
  <c r="AH50" i="2" s="1"/>
  <c r="AG50" i="2"/>
  <c r="AF50" i="2"/>
  <c r="AE50" i="2"/>
  <c r="AD50" i="2"/>
  <c r="AC50" i="2"/>
  <c r="AI34" i="2" a="1"/>
  <c r="AI34" i="2" s="1"/>
  <c r="AH34" i="2" a="1"/>
  <c r="AH34" i="2" s="1"/>
  <c r="AG34" i="2"/>
  <c r="AF34" i="2"/>
  <c r="AD34" i="2"/>
  <c r="AC34" i="2"/>
  <c r="AE34" i="2" s="1"/>
  <c r="AI18" i="2" a="1"/>
  <c r="AI18" i="2" s="1"/>
  <c r="AH18" i="2" a="1"/>
  <c r="AH18" i="2" s="1"/>
  <c r="AG18" i="2"/>
  <c r="AD18" i="2"/>
  <c r="AF18" i="2" s="1"/>
  <c r="AC18" i="2"/>
  <c r="AE18" i="2" s="1"/>
  <c r="AI2" i="2" a="1"/>
  <c r="AI2" i="2" s="1"/>
  <c r="AH2" i="2" a="1"/>
  <c r="AH2" i="2" s="1"/>
  <c r="AG2" i="2"/>
  <c r="AF2" i="2"/>
  <c r="AE2" i="2"/>
  <c r="AD2" i="2"/>
  <c r="AC2" i="2"/>
  <c r="H22" i="2"/>
  <c r="J22" i="2" s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W18" i="2" s="1"/>
  <c r="Y18" i="2" s="1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W34" i="2" s="1"/>
  <c r="Y34" i="2" s="1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P50" i="2" s="1"/>
  <c r="R50" i="2" s="1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2" i="2"/>
  <c r="W2" i="2" s="1"/>
  <c r="Y2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Z34" i="2" s="1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L50" i="2" s="1"/>
  <c r="F51" i="2"/>
  <c r="Z50" i="2" s="1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2" i="2"/>
  <c r="Z2" i="2" s="1"/>
  <c r="F254" i="1"/>
  <c r="F250" i="1"/>
  <c r="F246" i="1"/>
  <c r="F242" i="1"/>
  <c r="F238" i="1"/>
  <c r="F234" i="1"/>
  <c r="F230" i="1"/>
  <c r="F226" i="1"/>
  <c r="F222" i="1"/>
  <c r="F218" i="1"/>
  <c r="F214" i="1"/>
  <c r="F210" i="1"/>
  <c r="F206" i="1"/>
  <c r="F202" i="1"/>
  <c r="F198" i="1"/>
  <c r="F194" i="1"/>
  <c r="F190" i="1"/>
  <c r="F186" i="1"/>
  <c r="F182" i="1"/>
  <c r="F178" i="1"/>
  <c r="F174" i="1"/>
  <c r="F170" i="1"/>
  <c r="F166" i="1"/>
  <c r="F162" i="1"/>
  <c r="F158" i="1"/>
  <c r="F154" i="1"/>
  <c r="F150" i="1"/>
  <c r="F146" i="1"/>
  <c r="F142" i="1"/>
  <c r="F138" i="1"/>
  <c r="F134" i="1"/>
  <c r="F130" i="1"/>
  <c r="F126" i="1"/>
  <c r="F122" i="1"/>
  <c r="F118" i="1"/>
  <c r="F114" i="1"/>
  <c r="F110" i="1"/>
  <c r="F106" i="1"/>
  <c r="F102" i="1"/>
  <c r="F98" i="1"/>
  <c r="F94" i="1"/>
  <c r="F90" i="1"/>
  <c r="F86" i="1"/>
  <c r="F82" i="1"/>
  <c r="F78" i="1"/>
  <c r="F74" i="1"/>
  <c r="F70" i="1"/>
  <c r="F66" i="1"/>
  <c r="F62" i="1"/>
  <c r="F58" i="1"/>
  <c r="F54" i="1"/>
  <c r="F50" i="1"/>
  <c r="F46" i="1"/>
  <c r="F42" i="1"/>
  <c r="F38" i="1"/>
  <c r="F34" i="1"/>
  <c r="F30" i="1"/>
  <c r="F26" i="1"/>
  <c r="F22" i="1"/>
  <c r="F18" i="1"/>
  <c r="F14" i="1"/>
  <c r="F10" i="1"/>
  <c r="F6" i="1"/>
  <c r="F2" i="1"/>
  <c r="G257" i="1"/>
  <c r="H257" i="1" s="1"/>
  <c r="G256" i="1"/>
  <c r="H256" i="1" s="1"/>
  <c r="G255" i="1"/>
  <c r="H255" i="1" s="1"/>
  <c r="G254" i="1"/>
  <c r="H254" i="1" s="1"/>
  <c r="L254" i="1" s="1" a="1"/>
  <c r="L254" i="1" s="1"/>
  <c r="G253" i="1"/>
  <c r="H253" i="1" s="1"/>
  <c r="G252" i="1"/>
  <c r="H252" i="1" s="1"/>
  <c r="G251" i="1"/>
  <c r="H251" i="1" s="1"/>
  <c r="G250" i="1"/>
  <c r="I250" i="1" s="1"/>
  <c r="J250" i="1" s="1"/>
  <c r="G249" i="1"/>
  <c r="H249" i="1" s="1"/>
  <c r="G248" i="1"/>
  <c r="H248" i="1" s="1"/>
  <c r="G247" i="1"/>
  <c r="H247" i="1" s="1"/>
  <c r="G246" i="1"/>
  <c r="H246" i="1" s="1"/>
  <c r="G245" i="1"/>
  <c r="H245" i="1" s="1"/>
  <c r="G244" i="1"/>
  <c r="G243" i="1"/>
  <c r="H243" i="1" s="1"/>
  <c r="G242" i="1"/>
  <c r="G241" i="1"/>
  <c r="H241" i="1" s="1"/>
  <c r="G240" i="1"/>
  <c r="H240" i="1" s="1"/>
  <c r="G239" i="1"/>
  <c r="H239" i="1" s="1"/>
  <c r="G238" i="1"/>
  <c r="H238" i="1" s="1"/>
  <c r="G237" i="1"/>
  <c r="H237" i="1" s="1"/>
  <c r="G236" i="1"/>
  <c r="H236" i="1" s="1"/>
  <c r="G235" i="1"/>
  <c r="H235" i="1" s="1"/>
  <c r="G234" i="1"/>
  <c r="H234" i="1" s="1"/>
  <c r="G233" i="1"/>
  <c r="H233" i="1" s="1"/>
  <c r="G232" i="1"/>
  <c r="H232" i="1" s="1"/>
  <c r="H231" i="1"/>
  <c r="G231" i="1"/>
  <c r="G230" i="1"/>
  <c r="H230" i="1" s="1"/>
  <c r="G229" i="1"/>
  <c r="H229" i="1" s="1"/>
  <c r="G228" i="1"/>
  <c r="H228" i="1" s="1"/>
  <c r="G227" i="1"/>
  <c r="H227" i="1" s="1"/>
  <c r="G226" i="1"/>
  <c r="H226" i="1" s="1"/>
  <c r="G225" i="1"/>
  <c r="H225" i="1" s="1"/>
  <c r="G224" i="1"/>
  <c r="H224" i="1" s="1"/>
  <c r="G223" i="1"/>
  <c r="H223" i="1" s="1"/>
  <c r="G222" i="1"/>
  <c r="G221" i="1"/>
  <c r="H221" i="1" s="1"/>
  <c r="G220" i="1"/>
  <c r="H220" i="1" s="1"/>
  <c r="G219" i="1"/>
  <c r="H219" i="1" s="1"/>
  <c r="G218" i="1"/>
  <c r="H218" i="1" s="1"/>
  <c r="G217" i="1"/>
  <c r="H217" i="1" s="1"/>
  <c r="G216" i="1"/>
  <c r="H216" i="1" s="1"/>
  <c r="G215" i="1"/>
  <c r="H215" i="1" s="1"/>
  <c r="G214" i="1"/>
  <c r="I214" i="1" s="1"/>
  <c r="J214" i="1" s="1"/>
  <c r="G213" i="1"/>
  <c r="H213" i="1" s="1"/>
  <c r="G212" i="1"/>
  <c r="H212" i="1" s="1"/>
  <c r="G211" i="1"/>
  <c r="H211" i="1" s="1"/>
  <c r="G210" i="1"/>
  <c r="H210" i="1" s="1"/>
  <c r="G209" i="1"/>
  <c r="H209" i="1" s="1"/>
  <c r="G208" i="1"/>
  <c r="H208" i="1" s="1"/>
  <c r="G207" i="1"/>
  <c r="H207" i="1" s="1"/>
  <c r="G206" i="1"/>
  <c r="G205" i="1"/>
  <c r="H205" i="1" s="1"/>
  <c r="G204" i="1"/>
  <c r="H204" i="1" s="1"/>
  <c r="G203" i="1"/>
  <c r="H203" i="1" s="1"/>
  <c r="G202" i="1"/>
  <c r="G201" i="1"/>
  <c r="H201" i="1" s="1"/>
  <c r="G200" i="1"/>
  <c r="H200" i="1" s="1"/>
  <c r="G199" i="1"/>
  <c r="H199" i="1" s="1"/>
  <c r="G198" i="1"/>
  <c r="G197" i="1"/>
  <c r="H197" i="1" s="1"/>
  <c r="G196" i="1"/>
  <c r="H196" i="1" s="1"/>
  <c r="G195" i="1"/>
  <c r="H195" i="1" s="1"/>
  <c r="G194" i="1"/>
  <c r="H194" i="1" s="1"/>
  <c r="AA2" i="2" l="1" a="1"/>
  <c r="AA2" i="2" s="1"/>
  <c r="U34" i="2" a="1"/>
  <c r="U34" i="2" s="1"/>
  <c r="L34" i="2"/>
  <c r="U18" i="2" a="1"/>
  <c r="U18" i="2" s="1"/>
  <c r="S2" i="2"/>
  <c r="M18" i="2" a="1"/>
  <c r="M18" i="2" s="1"/>
  <c r="I18" i="2"/>
  <c r="K18" i="2" s="1"/>
  <c r="N62" i="2" a="1"/>
  <c r="N62" i="2" s="1"/>
  <c r="I14" i="2"/>
  <c r="K14" i="2" s="1"/>
  <c r="N30" i="2" a="1"/>
  <c r="N30" i="2" s="1"/>
  <c r="N18" i="2" a="1"/>
  <c r="N18" i="2" s="1"/>
  <c r="O50" i="2"/>
  <c r="Q50" i="2" s="1"/>
  <c r="Z18" i="2"/>
  <c r="N58" i="2" a="1"/>
  <c r="N58" i="2" s="1"/>
  <c r="L26" i="2"/>
  <c r="M10" i="2" a="1"/>
  <c r="M10" i="2" s="1"/>
  <c r="I26" i="2"/>
  <c r="K26" i="2" s="1"/>
  <c r="I10" i="2"/>
  <c r="K10" i="2" s="1"/>
  <c r="N50" i="2" a="1"/>
  <c r="N50" i="2" s="1"/>
  <c r="AA18" i="2" a="1"/>
  <c r="AA18" i="2" s="1"/>
  <c r="S34" i="2"/>
  <c r="H14" i="2"/>
  <c r="J14" i="2" s="1"/>
  <c r="N46" i="2" a="1"/>
  <c r="N46" i="2" s="1"/>
  <c r="N42" i="2" a="1"/>
  <c r="N42" i="2" s="1"/>
  <c r="N26" i="2" a="1"/>
  <c r="N26" i="2" s="1"/>
  <c r="N10" i="2" a="1"/>
  <c r="N10" i="2" s="1"/>
  <c r="U2" i="2" a="1"/>
  <c r="U2" i="2" s="1"/>
  <c r="T50" i="2" a="1"/>
  <c r="T50" i="2" s="1"/>
  <c r="V34" i="2"/>
  <c r="X34" i="2" s="1"/>
  <c r="AB2" i="2" a="1"/>
  <c r="AB2" i="2" s="1"/>
  <c r="AB18" i="2" a="1"/>
  <c r="AB18" i="2" s="1"/>
  <c r="M34" i="2" a="1"/>
  <c r="M34" i="2" s="1"/>
  <c r="V18" i="2"/>
  <c r="X18" i="2" s="1"/>
  <c r="M50" i="2" a="1"/>
  <c r="M50" i="2" s="1"/>
  <c r="U50" i="2" a="1"/>
  <c r="U50" i="2" s="1"/>
  <c r="N6" i="2" a="1"/>
  <c r="N6" i="2" s="1"/>
  <c r="I22" i="2"/>
  <c r="K22" i="2" s="1"/>
  <c r="AA34" i="2" a="1"/>
  <c r="AA34" i="2" s="1"/>
  <c r="AA50" i="2" a="1"/>
  <c r="AA50" i="2" s="1"/>
  <c r="N2" i="2" a="1"/>
  <c r="N2" i="2" s="1"/>
  <c r="O18" i="2"/>
  <c r="Q18" i="2" s="1"/>
  <c r="P18" i="2"/>
  <c r="R18" i="2" s="1"/>
  <c r="I6" i="2"/>
  <c r="K6" i="2" s="1"/>
  <c r="AB34" i="2" a="1"/>
  <c r="AB34" i="2" s="1"/>
  <c r="H50" i="2"/>
  <c r="J50" i="2" s="1"/>
  <c r="O34" i="2"/>
  <c r="Q34" i="2" s="1"/>
  <c r="T2" i="2" a="1"/>
  <c r="T2" i="2" s="1"/>
  <c r="V2" i="2"/>
  <c r="X2" i="2" s="1"/>
  <c r="S18" i="2"/>
  <c r="V50" i="2"/>
  <c r="X50" i="2" s="1"/>
  <c r="I50" i="2"/>
  <c r="K50" i="2" s="1"/>
  <c r="P34" i="2"/>
  <c r="R34" i="2" s="1"/>
  <c r="T34" i="2" a="1"/>
  <c r="T34" i="2" s="1"/>
  <c r="L14" i="2"/>
  <c r="S50" i="2"/>
  <c r="T18" i="2" a="1"/>
  <c r="T18" i="2" s="1"/>
  <c r="W50" i="2"/>
  <c r="Y50" i="2" s="1"/>
  <c r="AB50" i="2" a="1"/>
  <c r="AB50" i="2" s="1"/>
  <c r="L54" i="2"/>
  <c r="M38" i="2" a="1"/>
  <c r="M38" i="2" s="1"/>
  <c r="M22" i="2" a="1"/>
  <c r="M22" i="2" s="1"/>
  <c r="M6" i="2" a="1"/>
  <c r="M6" i="2" s="1"/>
  <c r="I54" i="2"/>
  <c r="K54" i="2" s="1"/>
  <c r="I38" i="2"/>
  <c r="K38" i="2" s="1"/>
  <c r="N22" i="2" a="1"/>
  <c r="N22" i="2" s="1"/>
  <c r="H34" i="2"/>
  <c r="J34" i="2" s="1"/>
  <c r="I34" i="2"/>
  <c r="K34" i="2" s="1"/>
  <c r="L6" i="2"/>
  <c r="L10" i="2"/>
  <c r="M2" i="2" a="1"/>
  <c r="M2" i="2" s="1"/>
  <c r="I2" i="2"/>
  <c r="K2" i="2" s="1"/>
  <c r="H6" i="2"/>
  <c r="J6" i="2" s="1"/>
  <c r="N38" i="2" a="1"/>
  <c r="N38" i="2" s="1"/>
  <c r="N14" i="2" a="1"/>
  <c r="N14" i="2" s="1"/>
  <c r="N34" i="2" a="1"/>
  <c r="N34" i="2" s="1"/>
  <c r="H10" i="2"/>
  <c r="J10" i="2" s="1"/>
  <c r="L18" i="2"/>
  <c r="M14" i="2" a="1"/>
  <c r="M14" i="2" s="1"/>
  <c r="H18" i="2"/>
  <c r="J18" i="2" s="1"/>
  <c r="L22" i="2"/>
  <c r="N54" i="2" a="1"/>
  <c r="N54" i="2" s="1"/>
  <c r="M62" i="2" a="1"/>
  <c r="M62" i="2" s="1"/>
  <c r="M46" i="2" a="1"/>
  <c r="M46" i="2" s="1"/>
  <c r="M30" i="2" a="1"/>
  <c r="M30" i="2" s="1"/>
  <c r="I62" i="2"/>
  <c r="K62" i="2" s="1"/>
  <c r="I46" i="2"/>
  <c r="K46" i="2" s="1"/>
  <c r="I30" i="2"/>
  <c r="K30" i="2" s="1"/>
  <c r="M26" i="2" a="1"/>
  <c r="M26" i="2" s="1"/>
  <c r="M58" i="2" a="1"/>
  <c r="M58" i="2" s="1"/>
  <c r="M42" i="2" a="1"/>
  <c r="M42" i="2" s="1"/>
  <c r="I58" i="2"/>
  <c r="K58" i="2" s="1"/>
  <c r="I42" i="2"/>
  <c r="K42" i="2" s="1"/>
  <c r="O2" i="2"/>
  <c r="Q2" i="2" s="1"/>
  <c r="P2" i="2"/>
  <c r="R2" i="2" s="1"/>
  <c r="H26" i="2"/>
  <c r="J26" i="2" s="1"/>
  <c r="H30" i="2"/>
  <c r="J30" i="2" s="1"/>
  <c r="L30" i="2"/>
  <c r="H38" i="2"/>
  <c r="J38" i="2" s="1"/>
  <c r="L38" i="2"/>
  <c r="H42" i="2"/>
  <c r="J42" i="2" s="1"/>
  <c r="L42" i="2"/>
  <c r="H46" i="2"/>
  <c r="J46" i="2" s="1"/>
  <c r="L46" i="2"/>
  <c r="H58" i="2"/>
  <c r="J58" i="2" s="1"/>
  <c r="L58" i="2"/>
  <c r="M54" i="2" a="1"/>
  <c r="M54" i="2" s="1"/>
  <c r="H62" i="2"/>
  <c r="J62" i="2" s="1"/>
  <c r="L62" i="2"/>
  <c r="H54" i="2"/>
  <c r="J54" i="2" s="1"/>
  <c r="H2" i="2"/>
  <c r="J2" i="2" s="1"/>
  <c r="L2" i="2"/>
  <c r="I222" i="1"/>
  <c r="J222" i="1" s="1"/>
  <c r="H250" i="1"/>
  <c r="K250" i="1" s="1"/>
  <c r="Q194" i="1"/>
  <c r="I226" i="1"/>
  <c r="J226" i="1" s="1"/>
  <c r="I202" i="1"/>
  <c r="J202" i="1" s="1"/>
  <c r="W242" i="1" a="1"/>
  <c r="W242" i="1" s="1"/>
  <c r="X242" i="1" s="1"/>
  <c r="I254" i="1"/>
  <c r="J254" i="1" s="1"/>
  <c r="I206" i="1"/>
  <c r="J206" i="1" s="1"/>
  <c r="Q242" i="1"/>
  <c r="L238" i="1" a="1"/>
  <c r="L238" i="1" s="1"/>
  <c r="I198" i="1"/>
  <c r="J198" i="1" s="1"/>
  <c r="I210" i="1"/>
  <c r="J210" i="1" s="1"/>
  <c r="L250" i="1" a="1"/>
  <c r="L250" i="1" s="1"/>
  <c r="L210" i="1" a="1"/>
  <c r="L210" i="1" s="1"/>
  <c r="H222" i="1"/>
  <c r="K222" i="1" s="1"/>
  <c r="I230" i="1"/>
  <c r="J230" i="1" s="1"/>
  <c r="H242" i="1"/>
  <c r="K210" i="1"/>
  <c r="I234" i="1"/>
  <c r="J234" i="1" s="1"/>
  <c r="K234" i="1"/>
  <c r="I246" i="1"/>
  <c r="J246" i="1" s="1"/>
  <c r="L234" i="1" a="1"/>
  <c r="L234" i="1" s="1"/>
  <c r="K230" i="1"/>
  <c r="L230" i="1" a="1"/>
  <c r="L230" i="1" s="1"/>
  <c r="L194" i="1" a="1"/>
  <c r="L194" i="1" s="1"/>
  <c r="K194" i="1"/>
  <c r="L246" i="1" a="1"/>
  <c r="L246" i="1" s="1"/>
  <c r="K246" i="1"/>
  <c r="L218" i="1" a="1"/>
  <c r="L218" i="1" s="1"/>
  <c r="K218" i="1"/>
  <c r="L226" i="1" a="1"/>
  <c r="L226" i="1" s="1"/>
  <c r="K226" i="1"/>
  <c r="Y242" i="1" a="1"/>
  <c r="Y242" i="1" s="1"/>
  <c r="W194" i="1" a="1"/>
  <c r="W194" i="1" s="1"/>
  <c r="X194" i="1" s="1"/>
  <c r="H198" i="1"/>
  <c r="I242" i="1"/>
  <c r="J242" i="1" s="1"/>
  <c r="M194" i="1"/>
  <c r="Y194" i="1" a="1"/>
  <c r="Y194" i="1" s="1"/>
  <c r="I218" i="1"/>
  <c r="J218" i="1" s="1"/>
  <c r="Z194" i="1" a="1"/>
  <c r="Z194" i="1" s="1"/>
  <c r="AA194" i="1" s="1"/>
  <c r="H214" i="1"/>
  <c r="H244" i="1"/>
  <c r="I194" i="1"/>
  <c r="J194" i="1" s="1"/>
  <c r="H202" i="1"/>
  <c r="K238" i="1"/>
  <c r="M242" i="1"/>
  <c r="K254" i="1"/>
  <c r="V194" i="1"/>
  <c r="O194" i="1" a="1"/>
  <c r="O194" i="1" s="1"/>
  <c r="I238" i="1"/>
  <c r="J238" i="1" s="1"/>
  <c r="AB194" i="1" a="1"/>
  <c r="AB194" i="1" s="1"/>
  <c r="O242" i="1" a="1"/>
  <c r="O242" i="1" s="1"/>
  <c r="R194" i="1"/>
  <c r="T194" i="1" a="1"/>
  <c r="T194" i="1" s="1"/>
  <c r="H206" i="1"/>
  <c r="U194" i="1" l="1" a="1"/>
  <c r="U194" i="1" s="1"/>
  <c r="N194" i="1"/>
  <c r="L222" i="1" a="1"/>
  <c r="L222" i="1" s="1"/>
  <c r="L202" i="1" a="1"/>
  <c r="L202" i="1" s="1"/>
  <c r="K202" i="1"/>
  <c r="P242" i="1" a="1"/>
  <c r="P242" i="1" s="1"/>
  <c r="K242" i="1"/>
  <c r="L214" i="1" a="1"/>
  <c r="L214" i="1" s="1"/>
  <c r="K214" i="1"/>
  <c r="S194" i="1"/>
  <c r="K206" i="1"/>
  <c r="L206" i="1" a="1"/>
  <c r="L206" i="1" s="1"/>
  <c r="P194" i="1" a="1"/>
  <c r="P194" i="1" s="1"/>
  <c r="K198" i="1"/>
  <c r="L198" i="1" a="1"/>
  <c r="L198" i="1" s="1"/>
  <c r="L242" i="1" a="1"/>
  <c r="L242" i="1" s="1"/>
  <c r="N24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<sst xmlns="http://schemas.openxmlformats.org/spreadsheetml/2006/main" count="687" uniqueCount="121">
  <si>
    <t>Mapping Algorithm</t>
  </si>
  <si>
    <t>Map_ID</t>
  </si>
  <si>
    <t>Structure_ID</t>
  </si>
  <si>
    <t>Ground_Truth</t>
  </si>
  <si>
    <t>Measured Distance</t>
  </si>
  <si>
    <t>Error (delta_d)</t>
  </si>
  <si>
    <t>Absolute Error (mod(delta_d))</t>
  </si>
  <si>
    <t>Mean Error (per landmark)</t>
  </si>
  <si>
    <t>Normalized Mean Error (per landmark)</t>
  </si>
  <si>
    <t>Absolute Mean Error (per landmark)</t>
  </si>
  <si>
    <t>Normalized Absolute Mean Error (per landmark)</t>
  </si>
  <si>
    <t>Mean Error (Indoor/Outdoor)</t>
  </si>
  <si>
    <t>Absolute Mean Error (Indoor/Outdoor)</t>
  </si>
  <si>
    <t>Normalized Mean Error (Indoor/Outdoor)</t>
  </si>
  <si>
    <t>Normalized Absolute Mean Error (Indoor/Outdoor)</t>
  </si>
  <si>
    <t>Standard Deviation (indoor/Outdoor)</t>
  </si>
  <si>
    <t>Mean Error (Overall)</t>
  </si>
  <si>
    <t>Absolute Mean Error (Overall)</t>
  </si>
  <si>
    <t>Normalized Mean Error (Overall)</t>
  </si>
  <si>
    <t>Normalized Absolute Mean Error (Overall)</t>
  </si>
  <si>
    <t>Standard Deviation (Overall)</t>
  </si>
  <si>
    <t>MSE(Indoor/Outdoor)</t>
  </si>
  <si>
    <t>RMSE(Indoor/Outdoor)</t>
  </si>
  <si>
    <t>NRMSE(Indoor/Outdoor)</t>
  </si>
  <si>
    <t>MSE(Overall)</t>
  </si>
  <si>
    <t>RMSE(Overall)</t>
  </si>
  <si>
    <t>NRMSE(Overall)</t>
  </si>
  <si>
    <t>FastLio2</t>
  </si>
  <si>
    <t>Site 3A</t>
  </si>
  <si>
    <t>SideB_SmallWindow</t>
  </si>
  <si>
    <t>SideB_StraightSide</t>
  </si>
  <si>
    <t>SideA_StraightSide</t>
  </si>
  <si>
    <t>SideA_Door</t>
  </si>
  <si>
    <t>Site 3B</t>
  </si>
  <si>
    <t>SIdeB_StraightSide</t>
  </si>
  <si>
    <t>Site 2</t>
  </si>
  <si>
    <t xml:space="preserve">WallHeight </t>
  </si>
  <si>
    <t>LengthToBin</t>
  </si>
  <si>
    <t>SingleBench</t>
  </si>
  <si>
    <t>4Benches</t>
  </si>
  <si>
    <t>Site 1</t>
  </si>
  <si>
    <t>Height</t>
  </si>
  <si>
    <t>CorridorNearDoorBehindStair</t>
  </si>
  <si>
    <t>DoorBehindStair</t>
  </si>
  <si>
    <t>BinHeight</t>
  </si>
  <si>
    <t>LioSAM</t>
  </si>
  <si>
    <t>PointLio</t>
  </si>
  <si>
    <t>LIO-Livox</t>
  </si>
  <si>
    <t>WallHeight</t>
  </si>
  <si>
    <t>Avg. Landmark Distance</t>
  </si>
  <si>
    <t>Site</t>
  </si>
  <si>
    <t>Landmark</t>
  </si>
  <si>
    <t>Ground Truth Landmark Distance</t>
  </si>
  <si>
    <t>FAST-LIO2</t>
  </si>
  <si>
    <t>Landmark 3.1</t>
  </si>
  <si>
    <t>Landmark 3.2</t>
  </si>
  <si>
    <t>Landmark 3.3</t>
  </si>
  <si>
    <t>Landmark 3.4</t>
  </si>
  <si>
    <t>Landmark 2.1</t>
  </si>
  <si>
    <t>Landmark 2.2</t>
  </si>
  <si>
    <t>Landmark 2.3</t>
  </si>
  <si>
    <t>Landmark 2.4</t>
  </si>
  <si>
    <t>Landmark 1.1</t>
  </si>
  <si>
    <t>Landmark 1.2</t>
  </si>
  <si>
    <t>Landmark 1.3</t>
  </si>
  <si>
    <t>Landmark 1.4</t>
  </si>
  <si>
    <t>LIO-SAM</t>
  </si>
  <si>
    <t>Point-LIO</t>
  </si>
  <si>
    <t>Error</t>
  </si>
  <si>
    <t>Abs. Error</t>
  </si>
  <si>
    <t>perRun-ME</t>
  </si>
  <si>
    <t>perRun-MAE</t>
  </si>
  <si>
    <t>perRun-NME</t>
  </si>
  <si>
    <t>perRun-NMAE</t>
  </si>
  <si>
    <t>perSite-ME</t>
  </si>
  <si>
    <t>perSite-MAE</t>
  </si>
  <si>
    <t>perSite-NME</t>
  </si>
  <si>
    <t>perSite-NMAE</t>
  </si>
  <si>
    <t>perRun-SD</t>
  </si>
  <si>
    <t>perRun-RMSE</t>
  </si>
  <si>
    <t>perRun-RMSRE</t>
  </si>
  <si>
    <t>perSite-SD</t>
  </si>
  <si>
    <t>perSite-RMSE</t>
  </si>
  <si>
    <t>perSite-RMSRE</t>
  </si>
  <si>
    <t>ivso-ME</t>
  </si>
  <si>
    <t>ivso-MAE</t>
  </si>
  <si>
    <t>ivso-NME</t>
  </si>
  <si>
    <t>ivso-NMAE</t>
  </si>
  <si>
    <t>ivso-RMSE</t>
  </si>
  <si>
    <t>ivso-RMSRE</t>
  </si>
  <si>
    <t>ivso-SD</t>
  </si>
  <si>
    <t>o-ME</t>
  </si>
  <si>
    <t>o-MAE</t>
  </si>
  <si>
    <t>o-NME</t>
  </si>
  <si>
    <t>o-NMAE</t>
  </si>
  <si>
    <t>o-SD</t>
  </si>
  <si>
    <t>o-RMSE</t>
  </si>
  <si>
    <t>o-RMSRE</t>
  </si>
  <si>
    <t>Mean Error</t>
  </si>
  <si>
    <t>Mean Absolute Error</t>
  </si>
  <si>
    <t>Normalized Mean Error</t>
  </si>
  <si>
    <t>Normalized Mean Absolute Error</t>
  </si>
  <si>
    <t>Standard Deviation</t>
  </si>
  <si>
    <t>RMSE</t>
  </si>
  <si>
    <t>RMSRE</t>
  </si>
  <si>
    <t>Outdoor</t>
  </si>
  <si>
    <t>Indoor</t>
  </si>
  <si>
    <t>Environment Type</t>
  </si>
  <si>
    <t>Site 3</t>
  </si>
  <si>
    <t>Map</t>
  </si>
  <si>
    <t>Map 3A</t>
  </si>
  <si>
    <t>Map 3B</t>
  </si>
  <si>
    <t>Map 2</t>
  </si>
  <si>
    <t>Map 1</t>
  </si>
  <si>
    <t>Performance of FAST-LIO2</t>
  </si>
  <si>
    <t>Performance of LIO-SAM</t>
  </si>
  <si>
    <t>Performance of Point-LIO</t>
  </si>
  <si>
    <t>Performance of LIO-Livox</t>
  </si>
  <si>
    <t>Outdoor Performances</t>
  </si>
  <si>
    <t>Overall Performances</t>
  </si>
  <si>
    <t>Indoor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</si>
</sst>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3" borderId="0" xfId="0" applyFont="1" applyFill="1"/>
    <xf numFmtId="0" fontId="0" fillId="4" borderId="0" xfId="0" applyFill="1"/>
    <xf numFmtId="0" fontId="3" fillId="2" borderId="0" xfId="0" applyFont="1" applyFill="1"/>
    <xf numFmtId="0" fontId="1" fillId="5" borderId="0" xfId="0" applyFont="1" applyFill="1"/>
    <xf numFmtId="0" fontId="4" fillId="3" borderId="0" xfId="0" applyFont="1" applyFill="1"/>
    <xf numFmtId="0" fontId="0" fillId="6" borderId="0" xfId="0" applyFill="1"/>
    <xf numFmtId="0" fontId="0" fillId="7" borderId="0" xfId="0" applyFill="1"/>
    <xf numFmtId="0" fontId="0" fillId="3" borderId="0" xfId="0" applyFill="1"/>
    <xf numFmtId="0" fontId="0" fillId="0" borderId="0" xfId="0" applyFill="1"/>
    <xf numFmtId="0" fontId="0" fillId="8" borderId="0" xfId="0" applyFill="1"/>
    <xf numFmtId="0" fontId="0" fillId="9" borderId="0" xfId="0" applyFill="1"/>
    <xf numFmtId="0" fontId="5" fillId="0" borderId="0" xfId="0" applyFont="1"/>
    <xf numFmtId="0" fontId="6" fillId="0" borderId="0" xfId="0" applyFont="1"/>
    <xf numFmtId="0" fontId="5" fillId="0" borderId="0" xfId="0" applyFont="1" applyFill="1"/>
    <xf numFmtId="0" fontId="6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opLeftCell="A222" zoomScale="85" zoomScaleNormal="85" workbookViewId="0">
      <selection activeCell="A2" sqref="A2:C256"/>
    </sheetView>
  </sheetViews>
  <sheetFormatPr defaultRowHeight="14.4" x14ac:dyDescent="0.3"/>
  <cols>
    <col min="1" max="1" width="16.44140625" bestFit="1" customWidth="1"/>
    <col min="2" max="2" width="10" bestFit="1" customWidth="1"/>
    <col min="3" max="3" width="25.5546875" bestFit="1" customWidth="1"/>
    <col min="4" max="4" width="12.33203125" bestFit="1" customWidth="1"/>
    <col min="5" max="5" width="16.6640625" bestFit="1" customWidth="1"/>
    <col min="6" max="6" width="21.5546875" bestFit="1" customWidth="1"/>
    <col min="7" max="7" width="12.77734375" bestFit="1" customWidth="1"/>
    <col min="8" max="8" width="25.5546875" bestFit="1" customWidth="1"/>
    <col min="9" max="9" width="22.77734375" bestFit="1" customWidth="1"/>
    <col min="10" max="10" width="32.77734375" bestFit="1" customWidth="1"/>
    <col min="11" max="11" width="30.5546875" bestFit="1" customWidth="1"/>
    <col min="12" max="12" width="40.5546875" bestFit="1" customWidth="1"/>
    <col min="13" max="13" width="25.21875" style="1" bestFit="1" customWidth="1"/>
    <col min="14" max="14" width="33" style="1" bestFit="1" customWidth="1"/>
    <col min="15" max="15" width="35.33203125" style="1" bestFit="1" customWidth="1"/>
    <col min="16" max="16" width="43.109375" style="1" bestFit="1" customWidth="1"/>
    <col min="17" max="17" width="31.5546875" style="1" bestFit="1" customWidth="1"/>
    <col min="18" max="18" width="17.77734375" style="2" bestFit="1" customWidth="1"/>
    <col min="19" max="19" width="25.5546875" style="2" bestFit="1" customWidth="1"/>
    <col min="20" max="20" width="27.77734375" style="2" bestFit="1" customWidth="1"/>
    <col min="21" max="21" width="35.5546875" style="2" bestFit="1" customWidth="1"/>
    <col min="22" max="22" width="24.109375" style="2" bestFit="1" customWidth="1"/>
    <col min="23" max="23" width="19" style="1" bestFit="1" customWidth="1"/>
    <col min="24" max="24" width="20.109375" style="1" bestFit="1" customWidth="1"/>
    <col min="25" max="25" width="21.5546875" style="1" bestFit="1" customWidth="1"/>
    <col min="26" max="26" width="12" style="1" bestFit="1" customWidth="1"/>
    <col min="27" max="27" width="12.5546875" style="1" bestFit="1" customWidth="1"/>
    <col min="28" max="28" width="14" style="1" bestFit="1" customWidth="1"/>
    <col min="29" max="29" width="8.33203125" style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s="4" customFormat="1" x14ac:dyDescent="0.3">
      <c r="A2" s="4" t="s">
        <v>27</v>
      </c>
      <c r="B2" s="4" t="s">
        <v>28</v>
      </c>
      <c r="C2" s="4" t="s">
        <v>29</v>
      </c>
      <c r="D2" s="4">
        <v>0.48</v>
      </c>
      <c r="E2" s="4">
        <v>0.47499999999999998</v>
      </c>
      <c r="F2" s="4">
        <f>AVERAGE(E2:E5)</f>
        <v>0.46834999999999999</v>
      </c>
      <c r="G2" s="4">
        <v>-5.0000000000000001E-3</v>
      </c>
      <c r="H2" s="4">
        <v>5.0000000000000001E-3</v>
      </c>
      <c r="I2" s="4">
        <v>-1.1650000000000001E-2</v>
      </c>
      <c r="J2" s="4">
        <v>-2.4270832999999999E-2</v>
      </c>
      <c r="K2" s="4">
        <v>1.2749999999999999E-2</v>
      </c>
      <c r="L2" s="4">
        <v>2.6562499999999999E-2</v>
      </c>
      <c r="M2" s="4">
        <v>2.8716667000000001E-2</v>
      </c>
      <c r="N2" s="4">
        <v>5.1512500000000003E-2</v>
      </c>
      <c r="O2" s="4">
        <v>4.3118050000000002E-3</v>
      </c>
      <c r="P2" s="4">
        <v>1.4667649E-2</v>
      </c>
      <c r="Q2" s="4">
        <v>7.0870452E-2</v>
      </c>
      <c r="R2" s="6">
        <v>1.9318749999999999E-2</v>
      </c>
      <c r="S2" s="6">
        <v>4.3390625000000002E-2</v>
      </c>
      <c r="T2" s="6">
        <v>2.1733239999999999E-3</v>
      </c>
      <c r="U2" s="6">
        <v>1.359115E-2</v>
      </c>
      <c r="V2" s="6">
        <v>6.4736528000000002E-2</v>
      </c>
      <c r="W2" s="4">
        <v>5.7426300000000003E-3</v>
      </c>
      <c r="X2" s="4">
        <v>7.5780142999999994E-2</v>
      </c>
      <c r="Y2" s="4">
        <v>2.07818E-2</v>
      </c>
      <c r="Z2" s="6">
        <v>4.4985509999999999E-3</v>
      </c>
      <c r="AA2" s="6">
        <v>6.7071235000000007E-2</v>
      </c>
      <c r="AB2" s="6">
        <v>1.9349109999999999E-2</v>
      </c>
    </row>
    <row r="3" spans="1:28" x14ac:dyDescent="0.3">
      <c r="A3" t="s">
        <v>27</v>
      </c>
      <c r="D3">
        <v>0.48</v>
      </c>
      <c r="E3">
        <v>0.45500000000000002</v>
      </c>
      <c r="G3">
        <v>-2.5000000000000001E-2</v>
      </c>
      <c r="H3">
        <v>2.5000000000000001E-2</v>
      </c>
    </row>
    <row r="4" spans="1:28" x14ac:dyDescent="0.3">
      <c r="A4" t="s">
        <v>27</v>
      </c>
      <c r="D4">
        <v>0.48</v>
      </c>
      <c r="E4">
        <v>0.4612</v>
      </c>
      <c r="G4">
        <v>-1.8800000000000001E-2</v>
      </c>
      <c r="H4">
        <v>1.8800000000000001E-2</v>
      </c>
    </row>
    <row r="5" spans="1:28" x14ac:dyDescent="0.3">
      <c r="A5" t="s">
        <v>27</v>
      </c>
      <c r="D5">
        <v>0.48</v>
      </c>
      <c r="E5">
        <v>0.48220000000000002</v>
      </c>
      <c r="G5">
        <v>2.2000000000000001E-3</v>
      </c>
      <c r="H5">
        <v>2.2000000000000001E-3</v>
      </c>
    </row>
    <row r="6" spans="1:28" x14ac:dyDescent="0.3">
      <c r="A6" t="s">
        <v>27</v>
      </c>
      <c r="C6" t="s">
        <v>30</v>
      </c>
      <c r="D6">
        <v>11.97</v>
      </c>
      <c r="E6">
        <v>11.9833</v>
      </c>
      <c r="F6">
        <f>AVERAGE(E6:E9)</f>
        <v>11.999699999999999</v>
      </c>
      <c r="G6">
        <v>1.3299999999999999E-2</v>
      </c>
      <c r="H6">
        <v>1.3299999999999999E-2</v>
      </c>
      <c r="I6">
        <v>2.9700000000000001E-2</v>
      </c>
      <c r="J6">
        <v>2.481203E-3</v>
      </c>
      <c r="K6">
        <v>3.4849999999999999E-2</v>
      </c>
      <c r="L6">
        <v>2.9114449999999999E-3</v>
      </c>
    </row>
    <row r="7" spans="1:28" x14ac:dyDescent="0.3">
      <c r="A7" t="s">
        <v>27</v>
      </c>
      <c r="D7">
        <v>11.97</v>
      </c>
      <c r="E7">
        <v>11.991400000000001</v>
      </c>
      <c r="G7">
        <v>2.1399999999999999E-2</v>
      </c>
      <c r="H7">
        <v>2.1399999999999999E-2</v>
      </c>
    </row>
    <row r="8" spans="1:28" x14ac:dyDescent="0.3">
      <c r="A8" t="s">
        <v>27</v>
      </c>
      <c r="D8">
        <v>11.97</v>
      </c>
      <c r="E8">
        <v>12.064399999999999</v>
      </c>
      <c r="G8">
        <v>9.4399999999999998E-2</v>
      </c>
      <c r="H8">
        <v>9.4399999999999998E-2</v>
      </c>
    </row>
    <row r="9" spans="1:28" x14ac:dyDescent="0.3">
      <c r="A9" t="s">
        <v>27</v>
      </c>
      <c r="D9">
        <v>11.97</v>
      </c>
      <c r="E9">
        <v>11.9597</v>
      </c>
      <c r="G9">
        <v>-1.03E-2</v>
      </c>
      <c r="H9">
        <v>1.03E-2</v>
      </c>
    </row>
    <row r="10" spans="1:28" x14ac:dyDescent="0.3">
      <c r="A10" t="s">
        <v>27</v>
      </c>
      <c r="C10" t="s">
        <v>31</v>
      </c>
      <c r="D10">
        <v>8.5500000000000007</v>
      </c>
      <c r="E10">
        <v>8.6786999999999992</v>
      </c>
      <c r="F10">
        <f>AVERAGE(E10:E13)</f>
        <v>8.5760249999999996</v>
      </c>
      <c r="G10">
        <v>0.12870000000000001</v>
      </c>
      <c r="H10">
        <v>0.12870000000000001</v>
      </c>
      <c r="I10">
        <v>2.6025E-2</v>
      </c>
      <c r="J10">
        <v>3.0438599999999998E-3</v>
      </c>
      <c r="K10">
        <v>6.3225000000000003E-2</v>
      </c>
      <c r="L10">
        <v>7.3947370000000002E-3</v>
      </c>
    </row>
    <row r="11" spans="1:28" x14ac:dyDescent="0.3">
      <c r="A11" t="s">
        <v>27</v>
      </c>
      <c r="D11">
        <v>8.5500000000000007</v>
      </c>
      <c r="E11">
        <v>8.4878</v>
      </c>
      <c r="G11">
        <v>-6.2199999999999998E-2</v>
      </c>
      <c r="H11">
        <v>6.2199999999999998E-2</v>
      </c>
    </row>
    <row r="12" spans="1:28" x14ac:dyDescent="0.3">
      <c r="A12" t="s">
        <v>27</v>
      </c>
      <c r="D12">
        <v>8.5500000000000007</v>
      </c>
      <c r="E12">
        <v>8.5378000000000007</v>
      </c>
      <c r="G12">
        <v>-1.2200000000000001E-2</v>
      </c>
      <c r="H12">
        <v>1.2200000000000001E-2</v>
      </c>
    </row>
    <row r="13" spans="1:28" x14ac:dyDescent="0.3">
      <c r="A13" t="s">
        <v>27</v>
      </c>
      <c r="D13">
        <v>8.5500000000000007</v>
      </c>
      <c r="E13">
        <v>8.5998000000000001</v>
      </c>
      <c r="G13">
        <v>4.9799999999999997E-2</v>
      </c>
      <c r="H13">
        <v>4.9799999999999997E-2</v>
      </c>
    </row>
    <row r="14" spans="1:28" x14ac:dyDescent="0.3">
      <c r="A14" t="s">
        <v>27</v>
      </c>
      <c r="C14" t="s">
        <v>32</v>
      </c>
      <c r="D14">
        <v>0.75</v>
      </c>
      <c r="E14">
        <v>0.75070000000000003</v>
      </c>
      <c r="F14">
        <f>AVERAGE(E14:E17)</f>
        <v>0.75307499999999994</v>
      </c>
      <c r="G14">
        <v>6.9999999999999999E-4</v>
      </c>
      <c r="H14">
        <v>6.9999999999999999E-4</v>
      </c>
      <c r="I14">
        <v>3.075E-3</v>
      </c>
      <c r="J14">
        <v>4.1000000000000003E-3</v>
      </c>
      <c r="K14">
        <v>3.075E-3</v>
      </c>
      <c r="L14">
        <v>4.1000000000000003E-3</v>
      </c>
    </row>
    <row r="15" spans="1:28" x14ac:dyDescent="0.3">
      <c r="A15" t="s">
        <v>27</v>
      </c>
      <c r="D15">
        <v>0.75</v>
      </c>
      <c r="E15">
        <v>0.75309999999999999</v>
      </c>
      <c r="G15">
        <v>3.0999999999999999E-3</v>
      </c>
      <c r="H15">
        <v>3.0999999999999999E-3</v>
      </c>
    </row>
    <row r="16" spans="1:28" x14ac:dyDescent="0.3">
      <c r="A16" t="s">
        <v>27</v>
      </c>
      <c r="D16">
        <v>0.75</v>
      </c>
      <c r="E16">
        <v>0.75309999999999999</v>
      </c>
      <c r="G16">
        <v>3.0999999999999999E-3</v>
      </c>
      <c r="H16">
        <v>3.0999999999999999E-3</v>
      </c>
    </row>
    <row r="17" spans="1:12" x14ac:dyDescent="0.3">
      <c r="A17" t="s">
        <v>27</v>
      </c>
      <c r="D17">
        <v>0.75</v>
      </c>
      <c r="E17">
        <v>0.75539999999999996</v>
      </c>
      <c r="G17">
        <v>5.4000000000000003E-3</v>
      </c>
      <c r="H17">
        <v>5.4000000000000003E-3</v>
      </c>
    </row>
    <row r="18" spans="1:12" x14ac:dyDescent="0.3">
      <c r="A18" t="s">
        <v>27</v>
      </c>
      <c r="B18" t="s">
        <v>33</v>
      </c>
      <c r="C18" t="s">
        <v>29</v>
      </c>
      <c r="D18">
        <v>0.48</v>
      </c>
      <c r="E18">
        <v>0.45140000000000002</v>
      </c>
      <c r="F18">
        <f>AVERAGE(E18:E21)</f>
        <v>0.47104999999999997</v>
      </c>
      <c r="G18">
        <v>-2.86E-2</v>
      </c>
      <c r="H18">
        <v>2.86E-2</v>
      </c>
      <c r="I18">
        <v>-8.9499999999999996E-3</v>
      </c>
      <c r="J18">
        <v>-1.8645833000000001E-2</v>
      </c>
      <c r="K18">
        <v>1.6799999999999999E-2</v>
      </c>
      <c r="L18">
        <v>3.5000000000000003E-2</v>
      </c>
    </row>
    <row r="19" spans="1:12" x14ac:dyDescent="0.3">
      <c r="A19" t="s">
        <v>27</v>
      </c>
      <c r="D19">
        <v>0.48</v>
      </c>
      <c r="E19">
        <v>0.49569999999999997</v>
      </c>
      <c r="G19">
        <v>1.5699999999999999E-2</v>
      </c>
      <c r="H19">
        <v>1.5699999999999999E-2</v>
      </c>
    </row>
    <row r="20" spans="1:12" x14ac:dyDescent="0.3">
      <c r="A20" t="s">
        <v>27</v>
      </c>
      <c r="D20">
        <v>0.48</v>
      </c>
      <c r="E20">
        <v>0.46829999999999999</v>
      </c>
      <c r="G20">
        <v>-1.17E-2</v>
      </c>
      <c r="H20">
        <v>1.17E-2</v>
      </c>
    </row>
    <row r="21" spans="1:12" x14ac:dyDescent="0.3">
      <c r="A21" t="s">
        <v>27</v>
      </c>
      <c r="D21">
        <v>0.48</v>
      </c>
      <c r="E21">
        <v>0.46879999999999999</v>
      </c>
      <c r="G21">
        <v>-1.12E-2</v>
      </c>
      <c r="H21">
        <v>1.12E-2</v>
      </c>
    </row>
    <row r="22" spans="1:12" x14ac:dyDescent="0.3">
      <c r="A22" t="s">
        <v>27</v>
      </c>
      <c r="C22" t="s">
        <v>34</v>
      </c>
      <c r="D22">
        <v>11.97</v>
      </c>
      <c r="E22">
        <v>12.270899999999999</v>
      </c>
      <c r="F22">
        <f>AVERAGE(E22:E25)</f>
        <v>12.153549999999999</v>
      </c>
      <c r="G22">
        <v>0.3009</v>
      </c>
      <c r="H22">
        <v>0.3009</v>
      </c>
      <c r="I22">
        <v>0.18354999999999999</v>
      </c>
      <c r="J22">
        <v>1.5334169E-2</v>
      </c>
      <c r="K22">
        <v>0.18354999999999999</v>
      </c>
      <c r="L22">
        <v>1.5334169E-2</v>
      </c>
    </row>
    <row r="23" spans="1:12" x14ac:dyDescent="0.3">
      <c r="A23" t="s">
        <v>27</v>
      </c>
      <c r="D23">
        <v>11.97</v>
      </c>
      <c r="E23">
        <v>12.1213</v>
      </c>
      <c r="G23">
        <v>0.15129999999999999</v>
      </c>
      <c r="H23">
        <v>0.15129999999999999</v>
      </c>
    </row>
    <row r="24" spans="1:12" x14ac:dyDescent="0.3">
      <c r="A24" t="s">
        <v>27</v>
      </c>
      <c r="D24">
        <v>11.97</v>
      </c>
      <c r="E24">
        <v>12.1052</v>
      </c>
      <c r="G24">
        <v>0.13519999999999999</v>
      </c>
      <c r="H24">
        <v>0.13519999999999999</v>
      </c>
    </row>
    <row r="25" spans="1:12" x14ac:dyDescent="0.3">
      <c r="A25" t="s">
        <v>27</v>
      </c>
      <c r="D25">
        <v>11.97</v>
      </c>
      <c r="E25">
        <v>12.1168</v>
      </c>
      <c r="G25">
        <v>0.14680000000000001</v>
      </c>
      <c r="H25">
        <v>0.14680000000000001</v>
      </c>
    </row>
    <row r="26" spans="1:12" x14ac:dyDescent="0.3">
      <c r="A26" t="s">
        <v>27</v>
      </c>
      <c r="C26" t="s">
        <v>31</v>
      </c>
      <c r="D26">
        <v>8.5500000000000007</v>
      </c>
      <c r="E26">
        <v>8.6024999999999991</v>
      </c>
      <c r="F26">
        <f>AVERAGE(E26:E29)</f>
        <v>8.5480499999999999</v>
      </c>
      <c r="G26">
        <v>5.2499999999999998E-2</v>
      </c>
      <c r="H26">
        <v>5.2499999999999998E-2</v>
      </c>
      <c r="I26">
        <v>-1.9499999999999999E-3</v>
      </c>
      <c r="J26">
        <v>-2.2807E-4</v>
      </c>
      <c r="K26">
        <v>3.2300000000000002E-2</v>
      </c>
      <c r="L26">
        <v>3.7777779999999999E-3</v>
      </c>
    </row>
    <row r="27" spans="1:12" x14ac:dyDescent="0.3">
      <c r="A27" t="s">
        <v>27</v>
      </c>
      <c r="D27">
        <v>8.5500000000000007</v>
      </c>
      <c r="E27">
        <v>8.5520999999999994</v>
      </c>
      <c r="G27">
        <v>2.0999999999999999E-3</v>
      </c>
      <c r="H27">
        <v>2.0999999999999999E-3</v>
      </c>
    </row>
    <row r="28" spans="1:12" x14ac:dyDescent="0.3">
      <c r="A28" t="s">
        <v>27</v>
      </c>
      <c r="D28">
        <v>8.5500000000000007</v>
      </c>
      <c r="E28">
        <v>8.5561000000000007</v>
      </c>
      <c r="G28">
        <v>6.1000000000000004E-3</v>
      </c>
      <c r="H28">
        <v>6.1000000000000004E-3</v>
      </c>
    </row>
    <row r="29" spans="1:12" x14ac:dyDescent="0.3">
      <c r="A29" t="s">
        <v>27</v>
      </c>
      <c r="D29">
        <v>8.5500000000000007</v>
      </c>
      <c r="E29">
        <v>8.4815000000000005</v>
      </c>
      <c r="G29">
        <v>-6.8500000000000005E-2</v>
      </c>
      <c r="H29">
        <v>6.8500000000000005E-2</v>
      </c>
    </row>
    <row r="30" spans="1:12" x14ac:dyDescent="0.3">
      <c r="A30" t="s">
        <v>27</v>
      </c>
      <c r="C30" t="s">
        <v>32</v>
      </c>
      <c r="D30">
        <v>0.75</v>
      </c>
      <c r="E30">
        <v>0.78290000000000004</v>
      </c>
      <c r="F30">
        <f>AVERAGE(E30:E33)</f>
        <v>0.76415</v>
      </c>
      <c r="G30">
        <v>3.2899999999999999E-2</v>
      </c>
      <c r="H30">
        <v>3.2899999999999999E-2</v>
      </c>
      <c r="I30">
        <v>1.4149999999999999E-2</v>
      </c>
      <c r="J30">
        <v>1.8866667E-2</v>
      </c>
      <c r="K30">
        <v>1.4149999999999999E-2</v>
      </c>
      <c r="L30">
        <v>1.8866667E-2</v>
      </c>
    </row>
    <row r="31" spans="1:12" x14ac:dyDescent="0.3">
      <c r="A31" t="s">
        <v>27</v>
      </c>
      <c r="D31">
        <v>0.75</v>
      </c>
      <c r="E31">
        <v>0.75749999999999995</v>
      </c>
      <c r="G31">
        <v>7.4999999999999997E-3</v>
      </c>
      <c r="H31">
        <v>7.4999999999999997E-3</v>
      </c>
    </row>
    <row r="32" spans="1:12" x14ac:dyDescent="0.3">
      <c r="A32" t="s">
        <v>27</v>
      </c>
      <c r="D32">
        <v>0.75</v>
      </c>
      <c r="E32">
        <v>0.75939999999999996</v>
      </c>
      <c r="G32">
        <v>9.4000000000000004E-3</v>
      </c>
      <c r="H32">
        <v>9.4000000000000004E-3</v>
      </c>
    </row>
    <row r="33" spans="1:12" x14ac:dyDescent="0.3">
      <c r="A33" t="s">
        <v>27</v>
      </c>
      <c r="D33">
        <v>0.75</v>
      </c>
      <c r="E33">
        <v>0.75680000000000003</v>
      </c>
      <c r="G33">
        <v>6.7999999999999996E-3</v>
      </c>
      <c r="H33">
        <v>6.7999999999999996E-3</v>
      </c>
    </row>
    <row r="34" spans="1:12" x14ac:dyDescent="0.3">
      <c r="A34" t="s">
        <v>27</v>
      </c>
      <c r="B34" t="s">
        <v>35</v>
      </c>
      <c r="C34" t="s">
        <v>36</v>
      </c>
      <c r="D34">
        <v>3.1</v>
      </c>
      <c r="E34">
        <v>3.1288999999999998</v>
      </c>
      <c r="F34">
        <f>AVERAGE(E34:E37)</f>
        <v>3.1375999999999999</v>
      </c>
      <c r="G34">
        <v>2.8899999999999999E-2</v>
      </c>
      <c r="H34">
        <v>2.8899999999999999E-2</v>
      </c>
      <c r="I34">
        <v>3.7600000000000001E-2</v>
      </c>
      <c r="J34">
        <v>1.2129032E-2</v>
      </c>
      <c r="K34">
        <v>3.7600000000000001E-2</v>
      </c>
      <c r="L34">
        <v>1.2129032E-2</v>
      </c>
    </row>
    <row r="35" spans="1:12" x14ac:dyDescent="0.3">
      <c r="A35" t="s">
        <v>27</v>
      </c>
      <c r="D35">
        <v>3.1</v>
      </c>
      <c r="E35">
        <v>3.1198999999999999</v>
      </c>
      <c r="G35">
        <v>1.9900000000000001E-2</v>
      </c>
      <c r="H35">
        <v>1.9900000000000001E-2</v>
      </c>
    </row>
    <row r="36" spans="1:12" x14ac:dyDescent="0.3">
      <c r="A36" t="s">
        <v>27</v>
      </c>
      <c r="D36">
        <v>3.1</v>
      </c>
      <c r="E36">
        <v>3.1511</v>
      </c>
      <c r="G36">
        <v>5.11E-2</v>
      </c>
      <c r="H36">
        <v>5.11E-2</v>
      </c>
    </row>
    <row r="37" spans="1:12" x14ac:dyDescent="0.3">
      <c r="A37" t="s">
        <v>27</v>
      </c>
      <c r="D37">
        <v>3.1</v>
      </c>
      <c r="E37">
        <v>3.1505000000000001</v>
      </c>
      <c r="G37">
        <v>5.0500000000000003E-2</v>
      </c>
      <c r="H37">
        <v>5.0500000000000003E-2</v>
      </c>
    </row>
    <row r="38" spans="1:12" x14ac:dyDescent="0.3">
      <c r="A38" t="s">
        <v>27</v>
      </c>
      <c r="C38" t="s">
        <v>37</v>
      </c>
      <c r="D38">
        <v>15.16</v>
      </c>
      <c r="E38">
        <v>15.050800000000001</v>
      </c>
      <c r="F38">
        <f>AVERAGE(E38:E41)</f>
        <v>15.145899999999999</v>
      </c>
      <c r="G38">
        <v>-0.10920000000000001</v>
      </c>
      <c r="H38">
        <v>0.10920000000000001</v>
      </c>
      <c r="I38">
        <v>-1.41E-2</v>
      </c>
      <c r="J38">
        <v>-9.30079E-4</v>
      </c>
      <c r="K38">
        <v>9.2499999999999999E-2</v>
      </c>
      <c r="L38">
        <v>6.1015829999999998E-3</v>
      </c>
    </row>
    <row r="39" spans="1:12" x14ac:dyDescent="0.3">
      <c r="A39" t="s">
        <v>27</v>
      </c>
      <c r="D39">
        <v>15.16</v>
      </c>
      <c r="E39">
        <v>15.055999999999999</v>
      </c>
      <c r="G39">
        <v>-0.104</v>
      </c>
      <c r="H39">
        <v>0.104</v>
      </c>
    </row>
    <row r="40" spans="1:12" x14ac:dyDescent="0.3">
      <c r="A40" t="s">
        <v>27</v>
      </c>
      <c r="D40">
        <v>15.16</v>
      </c>
      <c r="E40">
        <v>15.2583</v>
      </c>
      <c r="G40">
        <v>9.8299999999999998E-2</v>
      </c>
      <c r="H40">
        <v>9.8299999999999998E-2</v>
      </c>
    </row>
    <row r="41" spans="1:12" x14ac:dyDescent="0.3">
      <c r="A41" t="s">
        <v>27</v>
      </c>
      <c r="D41">
        <v>15.16</v>
      </c>
      <c r="E41">
        <v>15.218500000000001</v>
      </c>
      <c r="G41">
        <v>5.8500000000000003E-2</v>
      </c>
      <c r="H41">
        <v>5.8500000000000003E-2</v>
      </c>
    </row>
    <row r="42" spans="1:12" x14ac:dyDescent="0.3">
      <c r="A42" t="s">
        <v>27</v>
      </c>
      <c r="C42" t="s">
        <v>38</v>
      </c>
      <c r="D42">
        <v>1.68</v>
      </c>
      <c r="E42">
        <v>1.7351000000000001</v>
      </c>
      <c r="F42">
        <f>AVERAGE(E42:E45)</f>
        <v>1.74295</v>
      </c>
      <c r="G42">
        <v>5.5100000000000003E-2</v>
      </c>
      <c r="H42">
        <v>5.5100000000000003E-2</v>
      </c>
      <c r="I42">
        <v>6.2950000000000006E-2</v>
      </c>
      <c r="J42">
        <v>3.7470238000000003E-2</v>
      </c>
      <c r="K42">
        <v>6.2950000000000006E-2</v>
      </c>
      <c r="L42">
        <v>3.7470238000000003E-2</v>
      </c>
    </row>
    <row r="43" spans="1:12" x14ac:dyDescent="0.3">
      <c r="A43" t="s">
        <v>27</v>
      </c>
      <c r="D43">
        <v>1.68</v>
      </c>
      <c r="E43">
        <v>1.7437</v>
      </c>
      <c r="G43">
        <v>6.3700000000000007E-2</v>
      </c>
      <c r="H43">
        <v>6.3700000000000007E-2</v>
      </c>
    </row>
    <row r="44" spans="1:12" x14ac:dyDescent="0.3">
      <c r="A44" t="s">
        <v>27</v>
      </c>
      <c r="D44">
        <v>1.68</v>
      </c>
      <c r="E44">
        <v>1.7406999999999999</v>
      </c>
      <c r="G44">
        <v>6.0699999999999997E-2</v>
      </c>
      <c r="H44">
        <v>6.0699999999999997E-2</v>
      </c>
    </row>
    <row r="45" spans="1:12" x14ac:dyDescent="0.3">
      <c r="A45" t="s">
        <v>27</v>
      </c>
      <c r="D45">
        <v>1.68</v>
      </c>
      <c r="E45">
        <v>1.7523</v>
      </c>
      <c r="G45">
        <v>7.2300000000000003E-2</v>
      </c>
      <c r="H45">
        <v>7.2300000000000003E-2</v>
      </c>
    </row>
    <row r="46" spans="1:12" x14ac:dyDescent="0.3">
      <c r="A46" t="s">
        <v>27</v>
      </c>
      <c r="C46" t="s">
        <v>39</v>
      </c>
      <c r="D46">
        <v>10.119999999999999</v>
      </c>
      <c r="E46">
        <v>10.1463</v>
      </c>
      <c r="F46">
        <f>AVERAGE(E46:E49)</f>
        <v>10.144200000000001</v>
      </c>
      <c r="G46">
        <v>2.63E-2</v>
      </c>
      <c r="H46">
        <v>2.63E-2</v>
      </c>
      <c r="I46">
        <v>2.4199999999999999E-2</v>
      </c>
      <c r="J46">
        <v>2.3913039999999999E-3</v>
      </c>
      <c r="K46">
        <v>6.4399999999999999E-2</v>
      </c>
      <c r="L46">
        <v>6.3636359999999998E-3</v>
      </c>
    </row>
    <row r="47" spans="1:12" x14ac:dyDescent="0.3">
      <c r="A47" t="s">
        <v>27</v>
      </c>
      <c r="D47">
        <v>10.119999999999999</v>
      </c>
      <c r="E47">
        <v>10.225099999999999</v>
      </c>
      <c r="G47">
        <v>0.1051</v>
      </c>
      <c r="H47">
        <v>0.1051</v>
      </c>
    </row>
    <row r="48" spans="1:12" x14ac:dyDescent="0.3">
      <c r="A48" t="s">
        <v>27</v>
      </c>
      <c r="D48">
        <v>10.119999999999999</v>
      </c>
      <c r="E48">
        <v>10.0396</v>
      </c>
      <c r="G48">
        <v>-8.0399999999999999E-2</v>
      </c>
      <c r="H48">
        <v>8.0399999999999999E-2</v>
      </c>
    </row>
    <row r="49" spans="1:25" x14ac:dyDescent="0.3">
      <c r="A49" t="s">
        <v>27</v>
      </c>
      <c r="D49">
        <v>10.119999999999999</v>
      </c>
      <c r="E49">
        <v>10.165800000000001</v>
      </c>
      <c r="G49">
        <v>4.58E-2</v>
      </c>
      <c r="H49">
        <v>4.58E-2</v>
      </c>
    </row>
    <row r="50" spans="1:25" s="3" customFormat="1" x14ac:dyDescent="0.3">
      <c r="A50" s="3" t="s">
        <v>27</v>
      </c>
      <c r="B50" s="3" t="s">
        <v>40</v>
      </c>
      <c r="C50" s="3" t="s">
        <v>41</v>
      </c>
      <c r="D50" s="3">
        <v>2.5</v>
      </c>
      <c r="E50" s="3">
        <v>2.5065</v>
      </c>
      <c r="F50" s="3">
        <f>AVERAGE(E50:E53)</f>
        <v>2.5098250000000002</v>
      </c>
      <c r="G50" s="3">
        <v>6.4999999999999997E-3</v>
      </c>
      <c r="H50" s="3">
        <v>6.4999999999999997E-3</v>
      </c>
      <c r="I50" s="3">
        <v>9.8250000000000004E-3</v>
      </c>
      <c r="J50" s="3">
        <v>3.9300000000000003E-3</v>
      </c>
      <c r="K50" s="3">
        <v>1.1625E-2</v>
      </c>
      <c r="L50" s="3">
        <v>4.6499999999999996E-3</v>
      </c>
      <c r="M50" s="3">
        <v>-8.8749999999999992E-3</v>
      </c>
      <c r="N50" s="3">
        <v>1.9025E-2</v>
      </c>
      <c r="O50" s="3">
        <v>-4.2421200000000003E-3</v>
      </c>
      <c r="P50" s="3">
        <v>1.0361655000000001E-2</v>
      </c>
      <c r="Q50" s="3">
        <v>2.7081050999999998E-2</v>
      </c>
      <c r="W50" s="3">
        <v>7.66312E-4</v>
      </c>
      <c r="X50" s="3">
        <v>2.7682350000000001E-2</v>
      </c>
      <c r="Y50" s="3">
        <v>1.4209245000000001E-2</v>
      </c>
    </row>
    <row r="51" spans="1:25" x14ac:dyDescent="0.3">
      <c r="A51" t="s">
        <v>27</v>
      </c>
      <c r="D51">
        <v>2.5</v>
      </c>
      <c r="E51">
        <v>2.4964</v>
      </c>
      <c r="G51">
        <v>-3.5999999999999999E-3</v>
      </c>
      <c r="H51">
        <v>3.5999999999999999E-3</v>
      </c>
    </row>
    <row r="52" spans="1:25" x14ac:dyDescent="0.3">
      <c r="A52" t="s">
        <v>27</v>
      </c>
      <c r="D52">
        <v>2.5</v>
      </c>
      <c r="E52">
        <v>2.5106999999999999</v>
      </c>
      <c r="G52">
        <v>1.0699999999999999E-2</v>
      </c>
      <c r="H52">
        <v>1.0699999999999999E-2</v>
      </c>
    </row>
    <row r="53" spans="1:25" x14ac:dyDescent="0.3">
      <c r="A53" t="s">
        <v>27</v>
      </c>
      <c r="D53">
        <v>2.5</v>
      </c>
      <c r="E53">
        <v>2.5257000000000001</v>
      </c>
      <c r="G53">
        <v>2.5700000000000001E-2</v>
      </c>
      <c r="H53">
        <v>2.5700000000000001E-2</v>
      </c>
    </row>
    <row r="54" spans="1:25" x14ac:dyDescent="0.3">
      <c r="A54" t="s">
        <v>27</v>
      </c>
      <c r="C54" t="s">
        <v>42</v>
      </c>
      <c r="D54">
        <v>1.99</v>
      </c>
      <c r="E54">
        <v>1.9366000000000001</v>
      </c>
      <c r="F54">
        <f>AVERAGE(E54:E57)</f>
        <v>1.9401250000000001</v>
      </c>
      <c r="G54">
        <v>-5.3400000000000003E-2</v>
      </c>
      <c r="H54">
        <v>5.3400000000000003E-2</v>
      </c>
      <c r="I54">
        <v>-4.9875000000000003E-2</v>
      </c>
      <c r="J54">
        <v>-2.5062813999999999E-2</v>
      </c>
      <c r="K54">
        <v>4.9875000000000003E-2</v>
      </c>
      <c r="L54">
        <v>2.5062813999999999E-2</v>
      </c>
    </row>
    <row r="55" spans="1:25" x14ac:dyDescent="0.3">
      <c r="A55" t="s">
        <v>27</v>
      </c>
      <c r="D55">
        <v>1.99</v>
      </c>
      <c r="E55">
        <v>1.9366000000000001</v>
      </c>
      <c r="G55">
        <v>-5.3400000000000003E-2</v>
      </c>
      <c r="H55">
        <v>5.3400000000000003E-2</v>
      </c>
    </row>
    <row r="56" spans="1:25" x14ac:dyDescent="0.3">
      <c r="A56" t="s">
        <v>27</v>
      </c>
      <c r="D56">
        <v>1.99</v>
      </c>
      <c r="E56">
        <v>1.9285000000000001</v>
      </c>
      <c r="G56">
        <v>-6.1499999999999999E-2</v>
      </c>
      <c r="H56">
        <v>6.1499999999999999E-2</v>
      </c>
    </row>
    <row r="57" spans="1:25" x14ac:dyDescent="0.3">
      <c r="A57" t="s">
        <v>27</v>
      </c>
      <c r="D57">
        <v>1.99</v>
      </c>
      <c r="E57">
        <v>1.9588000000000001</v>
      </c>
      <c r="G57">
        <v>-3.1199999999999999E-2</v>
      </c>
      <c r="H57">
        <v>3.1199999999999999E-2</v>
      </c>
    </row>
    <row r="58" spans="1:25" x14ac:dyDescent="0.3">
      <c r="A58" t="s">
        <v>27</v>
      </c>
      <c r="C58" t="s">
        <v>43</v>
      </c>
      <c r="D58">
        <v>1.64</v>
      </c>
      <c r="E58">
        <v>1.6645000000000001</v>
      </c>
      <c r="F58">
        <f>AVERAGE(E58:E61)</f>
        <v>1.6432</v>
      </c>
      <c r="G58">
        <v>2.4500000000000001E-2</v>
      </c>
      <c r="H58">
        <v>2.4500000000000001E-2</v>
      </c>
      <c r="I58">
        <v>3.2000000000000002E-3</v>
      </c>
      <c r="J58">
        <v>1.95122E-3</v>
      </c>
      <c r="K58">
        <v>1.1849999999999999E-2</v>
      </c>
      <c r="L58">
        <v>7.2256100000000004E-3</v>
      </c>
    </row>
    <row r="59" spans="1:25" x14ac:dyDescent="0.3">
      <c r="A59" t="s">
        <v>27</v>
      </c>
      <c r="D59">
        <v>1.64</v>
      </c>
      <c r="E59">
        <v>1.6456</v>
      </c>
      <c r="G59">
        <v>5.5999999999999999E-3</v>
      </c>
      <c r="H59">
        <v>5.5999999999999999E-3</v>
      </c>
    </row>
    <row r="60" spans="1:25" x14ac:dyDescent="0.3">
      <c r="A60" t="s">
        <v>27</v>
      </c>
      <c r="D60">
        <v>1.64</v>
      </c>
      <c r="E60">
        <v>1.64</v>
      </c>
      <c r="G60">
        <v>0</v>
      </c>
      <c r="H60">
        <v>0</v>
      </c>
    </row>
    <row r="61" spans="1:25" x14ac:dyDescent="0.3">
      <c r="A61" t="s">
        <v>27</v>
      </c>
      <c r="D61">
        <v>1.64</v>
      </c>
      <c r="E61">
        <v>1.6227</v>
      </c>
      <c r="G61">
        <v>-1.7299999999999999E-2</v>
      </c>
      <c r="H61">
        <v>1.7299999999999999E-2</v>
      </c>
    </row>
    <row r="62" spans="1:25" x14ac:dyDescent="0.3">
      <c r="A62" t="s">
        <v>27</v>
      </c>
      <c r="C62" t="s">
        <v>44</v>
      </c>
      <c r="D62">
        <v>0.61</v>
      </c>
      <c r="E62">
        <v>0.6089</v>
      </c>
      <c r="F62">
        <f>AVERAGE(E62:E65)</f>
        <v>0.61135000000000006</v>
      </c>
      <c r="G62">
        <v>-1.1000000000000001E-3</v>
      </c>
      <c r="H62">
        <v>1.1000000000000001E-3</v>
      </c>
      <c r="I62">
        <v>1.3500000000000001E-3</v>
      </c>
      <c r="J62">
        <v>2.2131149999999999E-3</v>
      </c>
      <c r="K62">
        <v>2.7499999999999998E-3</v>
      </c>
      <c r="L62">
        <v>4.5081970000000002E-3</v>
      </c>
    </row>
    <row r="63" spans="1:25" x14ac:dyDescent="0.3">
      <c r="A63" t="s">
        <v>27</v>
      </c>
      <c r="D63">
        <v>0.61</v>
      </c>
      <c r="E63">
        <v>0.60829999999999995</v>
      </c>
      <c r="G63">
        <v>-1.6999999999999999E-3</v>
      </c>
      <c r="H63">
        <v>1.6999999999999999E-3</v>
      </c>
    </row>
    <row r="64" spans="1:25" x14ac:dyDescent="0.3">
      <c r="A64" t="s">
        <v>27</v>
      </c>
      <c r="D64">
        <v>0.61</v>
      </c>
      <c r="E64">
        <v>0.61539999999999995</v>
      </c>
      <c r="G64">
        <v>5.4000000000000003E-3</v>
      </c>
      <c r="H64">
        <v>5.4000000000000003E-3</v>
      </c>
    </row>
    <row r="65" spans="1:28" x14ac:dyDescent="0.3">
      <c r="A65" t="s">
        <v>27</v>
      </c>
      <c r="D65">
        <v>0.61</v>
      </c>
      <c r="E65">
        <v>0.61280000000000001</v>
      </c>
      <c r="G65">
        <v>2.8E-3</v>
      </c>
      <c r="H65">
        <v>2.8E-3</v>
      </c>
    </row>
    <row r="66" spans="1:28" s="4" customFormat="1" x14ac:dyDescent="0.3">
      <c r="A66" s="4" t="s">
        <v>45</v>
      </c>
      <c r="B66" s="4" t="s">
        <v>28</v>
      </c>
      <c r="C66" s="4" t="s">
        <v>29</v>
      </c>
      <c r="D66" s="4">
        <v>0.48</v>
      </c>
      <c r="E66" s="4">
        <v>0.45279999999999998</v>
      </c>
      <c r="F66" s="4">
        <f>AVERAGE(E66:E69)</f>
        <v>0.47909999999999997</v>
      </c>
      <c r="G66" s="4">
        <v>-2.7199999999999998E-2</v>
      </c>
      <c r="H66" s="4">
        <v>2.7199999999999998E-2</v>
      </c>
      <c r="I66" s="4">
        <v>-8.9999999999999998E-4</v>
      </c>
      <c r="J66" s="4">
        <v>-1.8749999999999999E-3</v>
      </c>
      <c r="K66" s="4">
        <v>1.2699999999999999E-2</v>
      </c>
      <c r="L66" s="4">
        <v>2.6458333000000001E-2</v>
      </c>
      <c r="M66" s="4">
        <v>3.9904374999999999E-2</v>
      </c>
      <c r="N66" s="4">
        <v>5.4514374999999997E-2</v>
      </c>
      <c r="O66" s="4">
        <v>9.5262920000000004E-3</v>
      </c>
      <c r="P66" s="4">
        <v>1.5092737E-2</v>
      </c>
      <c r="Q66" s="4">
        <v>7.0358017999999994E-2</v>
      </c>
      <c r="R66" s="6">
        <v>4.0654844000000002E-2</v>
      </c>
      <c r="S66" s="6">
        <v>5.9540468999999999E-2</v>
      </c>
      <c r="T66" s="6">
        <v>1.3711414999999999E-2</v>
      </c>
      <c r="U66" s="6">
        <v>2.1870231E-2</v>
      </c>
      <c r="V66" s="6">
        <v>7.1707598999999997E-2</v>
      </c>
      <c r="W66" s="4">
        <v>6.43948E-3</v>
      </c>
      <c r="X66" s="4">
        <v>8.0246367999999998E-2</v>
      </c>
      <c r="Y66" s="4">
        <v>2.0684144000000002E-2</v>
      </c>
      <c r="Z66" s="6">
        <v>6.7144529999999996E-3</v>
      </c>
      <c r="AA66" s="6">
        <v>8.1941764E-2</v>
      </c>
      <c r="AB66" s="6">
        <v>2.8695604999999999E-2</v>
      </c>
    </row>
    <row r="67" spans="1:28" x14ac:dyDescent="0.3">
      <c r="A67" t="s">
        <v>45</v>
      </c>
      <c r="D67">
        <v>0.48</v>
      </c>
      <c r="E67">
        <v>0.48499999999999999</v>
      </c>
      <c r="G67">
        <v>5.0000000000000001E-3</v>
      </c>
      <c r="H67">
        <v>5.0000000000000001E-3</v>
      </c>
    </row>
    <row r="68" spans="1:28" x14ac:dyDescent="0.3">
      <c r="A68" t="s">
        <v>45</v>
      </c>
      <c r="D68">
        <v>0.48</v>
      </c>
      <c r="E68">
        <v>0.48649999999999999</v>
      </c>
      <c r="G68">
        <v>6.4999999999999997E-3</v>
      </c>
      <c r="H68">
        <v>6.4999999999999997E-3</v>
      </c>
    </row>
    <row r="69" spans="1:28" x14ac:dyDescent="0.3">
      <c r="A69" t="s">
        <v>45</v>
      </c>
      <c r="D69">
        <v>0.48</v>
      </c>
      <c r="E69">
        <v>0.49209999999999998</v>
      </c>
      <c r="G69">
        <v>1.21E-2</v>
      </c>
      <c r="H69">
        <v>1.21E-2</v>
      </c>
    </row>
    <row r="70" spans="1:28" x14ac:dyDescent="0.3">
      <c r="A70" t="s">
        <v>45</v>
      </c>
      <c r="C70" t="s">
        <v>30</v>
      </c>
      <c r="D70">
        <v>11.97</v>
      </c>
      <c r="E70">
        <v>12.1836</v>
      </c>
      <c r="F70">
        <f>AVERAGE(E70:E73)</f>
        <v>12.093675000000001</v>
      </c>
      <c r="G70">
        <v>0.21360000000000001</v>
      </c>
      <c r="H70">
        <v>0.21360000000000001</v>
      </c>
      <c r="I70">
        <v>0.12367499999999999</v>
      </c>
      <c r="J70">
        <v>1.033208E-2</v>
      </c>
      <c r="K70">
        <v>0.12367499999999999</v>
      </c>
      <c r="L70">
        <v>1.033208E-2</v>
      </c>
    </row>
    <row r="71" spans="1:28" x14ac:dyDescent="0.3">
      <c r="A71" t="s">
        <v>45</v>
      </c>
      <c r="D71">
        <v>11.97</v>
      </c>
      <c r="E71">
        <v>12.0816</v>
      </c>
      <c r="G71">
        <v>0.1116</v>
      </c>
      <c r="H71">
        <v>0.1116</v>
      </c>
    </row>
    <row r="72" spans="1:28" x14ac:dyDescent="0.3">
      <c r="A72" t="s">
        <v>45</v>
      </c>
      <c r="D72">
        <v>11.97</v>
      </c>
      <c r="E72">
        <v>12.125299999999999</v>
      </c>
      <c r="G72">
        <v>0.15529999999999999</v>
      </c>
      <c r="H72">
        <v>0.15529999999999999</v>
      </c>
    </row>
    <row r="73" spans="1:28" x14ac:dyDescent="0.3">
      <c r="A73" t="s">
        <v>45</v>
      </c>
      <c r="D73">
        <v>11.97</v>
      </c>
      <c r="E73">
        <v>11.9842</v>
      </c>
      <c r="G73">
        <v>1.4200000000000001E-2</v>
      </c>
      <c r="H73">
        <v>1.4200000000000001E-2</v>
      </c>
    </row>
    <row r="74" spans="1:28" x14ac:dyDescent="0.3">
      <c r="A74" t="s">
        <v>45</v>
      </c>
      <c r="C74" t="s">
        <v>31</v>
      </c>
      <c r="D74">
        <v>8.5500000000000007</v>
      </c>
      <c r="E74">
        <v>8.6721000000000004</v>
      </c>
      <c r="F74">
        <f>AVERAGE(E74:E77)</f>
        <v>8.5747749999999989</v>
      </c>
      <c r="G74">
        <v>0.1221</v>
      </c>
      <c r="H74">
        <v>0.1221</v>
      </c>
      <c r="I74">
        <v>2.4774999999999998E-2</v>
      </c>
      <c r="J74">
        <v>2.8976610000000002E-3</v>
      </c>
      <c r="K74">
        <v>6.7525000000000002E-2</v>
      </c>
      <c r="L74">
        <v>7.8976610000000003E-3</v>
      </c>
    </row>
    <row r="75" spans="1:28" x14ac:dyDescent="0.3">
      <c r="A75" t="s">
        <v>45</v>
      </c>
      <c r="D75">
        <v>8.5500000000000007</v>
      </c>
      <c r="E75">
        <v>8.5098000000000003</v>
      </c>
      <c r="G75">
        <v>-4.02E-2</v>
      </c>
      <c r="H75">
        <v>4.02E-2</v>
      </c>
    </row>
    <row r="76" spans="1:28" x14ac:dyDescent="0.3">
      <c r="A76" t="s">
        <v>45</v>
      </c>
      <c r="D76">
        <v>8.5500000000000007</v>
      </c>
      <c r="E76">
        <v>8.5046999999999997</v>
      </c>
      <c r="G76">
        <v>-4.53E-2</v>
      </c>
      <c r="H76">
        <v>4.53E-2</v>
      </c>
    </row>
    <row r="77" spans="1:28" x14ac:dyDescent="0.3">
      <c r="A77" t="s">
        <v>45</v>
      </c>
      <c r="D77">
        <v>8.5500000000000007</v>
      </c>
      <c r="E77">
        <v>8.6125000000000007</v>
      </c>
      <c r="G77">
        <v>6.25E-2</v>
      </c>
      <c r="H77">
        <v>6.25E-2</v>
      </c>
    </row>
    <row r="78" spans="1:28" x14ac:dyDescent="0.3">
      <c r="A78" t="s">
        <v>45</v>
      </c>
      <c r="C78" t="s">
        <v>32</v>
      </c>
      <c r="D78">
        <v>0.75</v>
      </c>
      <c r="E78">
        <v>0.7792</v>
      </c>
      <c r="F78">
        <f>AVERAGE(E78:E81)</f>
        <v>0.76724999999999999</v>
      </c>
      <c r="G78">
        <v>2.92E-2</v>
      </c>
      <c r="H78">
        <v>2.92E-2</v>
      </c>
      <c r="I78">
        <v>1.7250000000000001E-2</v>
      </c>
      <c r="J78">
        <v>2.3E-2</v>
      </c>
      <c r="K78">
        <v>2.6749999999999999E-2</v>
      </c>
      <c r="L78">
        <v>3.5666666999999999E-2</v>
      </c>
    </row>
    <row r="79" spans="1:28" x14ac:dyDescent="0.3">
      <c r="A79" t="s">
        <v>45</v>
      </c>
      <c r="D79">
        <v>0.75</v>
      </c>
      <c r="E79">
        <v>0.73099999999999998</v>
      </c>
      <c r="G79">
        <v>-1.9E-2</v>
      </c>
      <c r="H79">
        <v>1.9E-2</v>
      </c>
    </row>
    <row r="80" spans="1:28" x14ac:dyDescent="0.3">
      <c r="A80" t="s">
        <v>45</v>
      </c>
      <c r="D80">
        <v>0.75</v>
      </c>
      <c r="E80">
        <v>0.77359999999999995</v>
      </c>
      <c r="G80">
        <v>2.3599999999999999E-2</v>
      </c>
      <c r="H80">
        <v>2.3599999999999999E-2</v>
      </c>
    </row>
    <row r="81" spans="1:12" x14ac:dyDescent="0.3">
      <c r="A81" t="s">
        <v>45</v>
      </c>
      <c r="D81">
        <v>0.75</v>
      </c>
      <c r="E81">
        <v>0.78520000000000001</v>
      </c>
      <c r="G81">
        <v>3.5200000000000002E-2</v>
      </c>
      <c r="H81">
        <v>3.5200000000000002E-2</v>
      </c>
    </row>
    <row r="82" spans="1:12" x14ac:dyDescent="0.3">
      <c r="A82" t="s">
        <v>45</v>
      </c>
      <c r="B82" t="s">
        <v>33</v>
      </c>
      <c r="C82" t="s">
        <v>29</v>
      </c>
      <c r="D82">
        <v>0.48</v>
      </c>
      <c r="E82">
        <v>0.4743</v>
      </c>
      <c r="F82">
        <f>AVERAGE(E82:E85)</f>
        <v>0.48417499999999997</v>
      </c>
      <c r="G82">
        <v>-5.7000000000000002E-3</v>
      </c>
      <c r="H82">
        <v>5.7000000000000002E-3</v>
      </c>
      <c r="I82">
        <v>4.1749999999999999E-3</v>
      </c>
      <c r="J82">
        <v>8.6979169999999995E-3</v>
      </c>
      <c r="K82">
        <v>7.025E-3</v>
      </c>
      <c r="L82">
        <v>1.4635417E-2</v>
      </c>
    </row>
    <row r="83" spans="1:12" x14ac:dyDescent="0.3">
      <c r="A83" t="s">
        <v>45</v>
      </c>
      <c r="D83">
        <v>0.48</v>
      </c>
      <c r="E83">
        <v>0.48849999999999999</v>
      </c>
      <c r="G83">
        <v>8.5000000000000006E-3</v>
      </c>
      <c r="H83">
        <v>8.5000000000000006E-3</v>
      </c>
    </row>
    <row r="84" spans="1:12" x14ac:dyDescent="0.3">
      <c r="A84" t="s">
        <v>45</v>
      </c>
      <c r="D84">
        <v>0.48</v>
      </c>
      <c r="E84">
        <v>0.48559999999999998</v>
      </c>
      <c r="G84">
        <v>5.5999999999999999E-3</v>
      </c>
      <c r="H84">
        <v>5.5999999999999999E-3</v>
      </c>
    </row>
    <row r="85" spans="1:12" x14ac:dyDescent="0.3">
      <c r="A85" t="s">
        <v>45</v>
      </c>
      <c r="D85">
        <v>0.48</v>
      </c>
      <c r="E85">
        <v>0.48830000000000001</v>
      </c>
      <c r="G85">
        <v>8.3000000000000001E-3</v>
      </c>
      <c r="H85">
        <v>8.3000000000000001E-3</v>
      </c>
    </row>
    <row r="86" spans="1:12" x14ac:dyDescent="0.3">
      <c r="A86" t="s">
        <v>45</v>
      </c>
      <c r="C86" t="s">
        <v>30</v>
      </c>
      <c r="D86">
        <v>11.97</v>
      </c>
      <c r="E86">
        <v>11.9396</v>
      </c>
      <c r="F86">
        <f>AVERAGE(E86:E89)</f>
        <v>12.0075</v>
      </c>
      <c r="G86">
        <v>-3.04E-2</v>
      </c>
      <c r="H86">
        <v>3.04E-2</v>
      </c>
      <c r="I86">
        <v>3.7499999999999999E-2</v>
      </c>
      <c r="J86">
        <v>3.1328319999999999E-3</v>
      </c>
      <c r="K86">
        <v>9.0700000000000003E-2</v>
      </c>
      <c r="L86">
        <v>7.5772770000000003E-3</v>
      </c>
    </row>
    <row r="87" spans="1:12" x14ac:dyDescent="0.3">
      <c r="A87" t="s">
        <v>45</v>
      </c>
      <c r="D87">
        <v>11.97</v>
      </c>
      <c r="E87">
        <v>12.005000000000001</v>
      </c>
      <c r="G87">
        <v>3.5000000000000003E-2</v>
      </c>
      <c r="H87">
        <v>3.5000000000000003E-2</v>
      </c>
    </row>
    <row r="88" spans="1:12" x14ac:dyDescent="0.3">
      <c r="A88" t="s">
        <v>45</v>
      </c>
      <c r="D88">
        <v>11.97</v>
      </c>
      <c r="E88">
        <v>11.894</v>
      </c>
      <c r="G88">
        <v>-7.5999999999999998E-2</v>
      </c>
      <c r="H88">
        <v>7.5999999999999998E-2</v>
      </c>
    </row>
    <row r="89" spans="1:12" x14ac:dyDescent="0.3">
      <c r="A89" t="s">
        <v>45</v>
      </c>
      <c r="D89">
        <v>11.97</v>
      </c>
      <c r="E89">
        <v>12.1914</v>
      </c>
      <c r="G89">
        <v>0.22140000000000001</v>
      </c>
      <c r="H89">
        <v>0.22140000000000001</v>
      </c>
    </row>
    <row r="90" spans="1:12" x14ac:dyDescent="0.3">
      <c r="A90" t="s">
        <v>45</v>
      </c>
      <c r="C90" t="s">
        <v>31</v>
      </c>
      <c r="D90">
        <v>8.5500000000000007</v>
      </c>
      <c r="E90">
        <v>8.5686999999999998</v>
      </c>
      <c r="F90">
        <f>AVERAGE(E90:E93)</f>
        <v>8.6007525000000005</v>
      </c>
      <c r="G90">
        <v>1.8700000000000001E-2</v>
      </c>
      <c r="H90">
        <v>1.8700000000000001E-2</v>
      </c>
      <c r="I90">
        <v>5.0752499999999999E-2</v>
      </c>
      <c r="J90">
        <v>5.9359649999999996E-3</v>
      </c>
      <c r="K90">
        <v>6.7472500000000005E-2</v>
      </c>
      <c r="L90">
        <v>7.8915200000000008E-3</v>
      </c>
    </row>
    <row r="91" spans="1:12" x14ac:dyDescent="0.3">
      <c r="A91" t="s">
        <v>45</v>
      </c>
      <c r="D91">
        <v>8.5500000000000007</v>
      </c>
      <c r="E91">
        <v>8.7677499999999995</v>
      </c>
      <c r="G91">
        <v>0.21775</v>
      </c>
      <c r="H91">
        <v>0.21775</v>
      </c>
    </row>
    <row r="92" spans="1:12" x14ac:dyDescent="0.3">
      <c r="A92" t="s">
        <v>45</v>
      </c>
      <c r="D92">
        <v>8.5500000000000007</v>
      </c>
      <c r="E92">
        <v>8.5408600000000003</v>
      </c>
      <c r="G92">
        <v>-9.1400000000000006E-3</v>
      </c>
      <c r="H92">
        <v>9.1400000000000006E-3</v>
      </c>
    </row>
    <row r="93" spans="1:12" x14ac:dyDescent="0.3">
      <c r="A93" t="s">
        <v>45</v>
      </c>
      <c r="D93">
        <v>8.5500000000000007</v>
      </c>
      <c r="E93">
        <v>8.5257000000000005</v>
      </c>
      <c r="G93">
        <v>-2.4299999999999999E-2</v>
      </c>
      <c r="H93">
        <v>2.4299999999999999E-2</v>
      </c>
    </row>
    <row r="94" spans="1:12" x14ac:dyDescent="0.3">
      <c r="A94" t="s">
        <v>45</v>
      </c>
      <c r="C94" t="s">
        <v>32</v>
      </c>
      <c r="D94">
        <v>0.75</v>
      </c>
      <c r="E94">
        <v>0.7621</v>
      </c>
      <c r="F94">
        <f>AVERAGE(E94:E97)</f>
        <v>0.76594999999999991</v>
      </c>
      <c r="G94">
        <v>1.21E-2</v>
      </c>
      <c r="H94">
        <v>1.21E-2</v>
      </c>
      <c r="I94">
        <v>1.5949999999999999E-2</v>
      </c>
      <c r="J94">
        <v>2.1266667E-2</v>
      </c>
      <c r="K94">
        <v>1.5949999999999999E-2</v>
      </c>
      <c r="L94">
        <v>2.1266667E-2</v>
      </c>
    </row>
    <row r="95" spans="1:12" x14ac:dyDescent="0.3">
      <c r="A95" t="s">
        <v>45</v>
      </c>
      <c r="D95">
        <v>0.75</v>
      </c>
      <c r="E95">
        <v>0.75019999999999998</v>
      </c>
      <c r="G95">
        <v>2.0000000000000001E-4</v>
      </c>
      <c r="H95">
        <v>2.0000000000000001E-4</v>
      </c>
    </row>
    <row r="96" spans="1:12" x14ac:dyDescent="0.3">
      <c r="A96" t="s">
        <v>45</v>
      </c>
      <c r="D96">
        <v>0.75</v>
      </c>
      <c r="E96">
        <v>0.76639999999999997</v>
      </c>
      <c r="G96">
        <v>1.6400000000000001E-2</v>
      </c>
      <c r="H96">
        <v>1.6400000000000001E-2</v>
      </c>
    </row>
    <row r="97" spans="1:12" x14ac:dyDescent="0.3">
      <c r="A97" t="s">
        <v>45</v>
      </c>
      <c r="D97">
        <v>0.75</v>
      </c>
      <c r="E97">
        <v>0.78510000000000002</v>
      </c>
      <c r="G97">
        <v>3.5099999999999999E-2</v>
      </c>
      <c r="H97">
        <v>3.5099999999999999E-2</v>
      </c>
    </row>
    <row r="98" spans="1:12" x14ac:dyDescent="0.3">
      <c r="A98" t="s">
        <v>45</v>
      </c>
      <c r="B98" t="s">
        <v>35</v>
      </c>
      <c r="C98" t="s">
        <v>36</v>
      </c>
      <c r="D98">
        <v>3.1</v>
      </c>
      <c r="E98">
        <v>3.0893999999999999</v>
      </c>
      <c r="F98">
        <f>AVERAGE(E98:E101)</f>
        <v>3.10365</v>
      </c>
      <c r="G98">
        <v>-1.06E-2</v>
      </c>
      <c r="H98">
        <v>1.06E-2</v>
      </c>
      <c r="I98">
        <v>3.65E-3</v>
      </c>
      <c r="J98">
        <v>1.1774190000000001E-3</v>
      </c>
      <c r="K98">
        <v>2.5250000000000002E-2</v>
      </c>
      <c r="L98">
        <v>8.1451609999999997E-3</v>
      </c>
    </row>
    <row r="99" spans="1:12" x14ac:dyDescent="0.3">
      <c r="A99" t="s">
        <v>45</v>
      </c>
      <c r="D99">
        <v>3.1</v>
      </c>
      <c r="E99">
        <v>3.0674000000000001</v>
      </c>
      <c r="G99">
        <v>-3.2599999999999997E-2</v>
      </c>
      <c r="H99">
        <v>3.2599999999999997E-2</v>
      </c>
    </row>
    <row r="100" spans="1:12" x14ac:dyDescent="0.3">
      <c r="A100" t="s">
        <v>45</v>
      </c>
      <c r="D100">
        <v>3.1</v>
      </c>
      <c r="E100">
        <v>3.1347</v>
      </c>
      <c r="G100">
        <v>3.4700000000000002E-2</v>
      </c>
      <c r="H100">
        <v>3.4700000000000002E-2</v>
      </c>
    </row>
    <row r="101" spans="1:12" x14ac:dyDescent="0.3">
      <c r="A101" t="s">
        <v>45</v>
      </c>
      <c r="D101">
        <v>3.1</v>
      </c>
      <c r="E101">
        <v>3.1231</v>
      </c>
      <c r="G101">
        <v>2.3099999999999999E-2</v>
      </c>
      <c r="H101">
        <v>2.3099999999999999E-2</v>
      </c>
    </row>
    <row r="102" spans="1:12" x14ac:dyDescent="0.3">
      <c r="A102" t="s">
        <v>45</v>
      </c>
      <c r="C102" t="s">
        <v>37</v>
      </c>
      <c r="D102">
        <v>15.16</v>
      </c>
      <c r="E102">
        <v>15.293100000000001</v>
      </c>
      <c r="F102">
        <f>AVERAGE(E102:E105)</f>
        <v>15.290575</v>
      </c>
      <c r="G102">
        <v>0.1331</v>
      </c>
      <c r="H102">
        <v>0.1331</v>
      </c>
      <c r="I102">
        <v>0.130575</v>
      </c>
      <c r="J102">
        <v>8.6131269999999999E-3</v>
      </c>
      <c r="K102">
        <v>0.130575</v>
      </c>
      <c r="L102">
        <v>8.6131269999999999E-3</v>
      </c>
    </row>
    <row r="103" spans="1:12" x14ac:dyDescent="0.3">
      <c r="A103" t="s">
        <v>45</v>
      </c>
      <c r="D103">
        <v>15.16</v>
      </c>
      <c r="E103">
        <v>15.2934</v>
      </c>
      <c r="G103">
        <v>0.13339999999999999</v>
      </c>
      <c r="H103">
        <v>0.13339999999999999</v>
      </c>
    </row>
    <row r="104" spans="1:12" x14ac:dyDescent="0.3">
      <c r="A104" t="s">
        <v>45</v>
      </c>
      <c r="D104">
        <v>15.16</v>
      </c>
      <c r="E104">
        <v>15.261900000000001</v>
      </c>
      <c r="G104">
        <v>0.1019</v>
      </c>
      <c r="H104">
        <v>0.1019</v>
      </c>
    </row>
    <row r="105" spans="1:12" x14ac:dyDescent="0.3">
      <c r="A105" t="s">
        <v>45</v>
      </c>
      <c r="D105">
        <v>15.16</v>
      </c>
      <c r="E105">
        <v>15.3139</v>
      </c>
      <c r="G105">
        <v>0.15390000000000001</v>
      </c>
      <c r="H105">
        <v>0.15390000000000001</v>
      </c>
    </row>
    <row r="106" spans="1:12" x14ac:dyDescent="0.3">
      <c r="A106" t="s">
        <v>45</v>
      </c>
      <c r="C106" t="s">
        <v>38</v>
      </c>
      <c r="D106">
        <v>1.68</v>
      </c>
      <c r="E106">
        <v>1.7519</v>
      </c>
      <c r="F106">
        <f>AVERAGE(E106:E109)</f>
        <v>1.7285000000000001</v>
      </c>
      <c r="G106">
        <v>7.1900000000000006E-2</v>
      </c>
      <c r="H106">
        <v>7.1900000000000006E-2</v>
      </c>
      <c r="I106">
        <v>4.8500000000000001E-2</v>
      </c>
      <c r="J106">
        <v>2.8869048000000001E-2</v>
      </c>
      <c r="K106">
        <v>4.8500000000000001E-2</v>
      </c>
      <c r="L106">
        <v>2.8869048000000001E-2</v>
      </c>
    </row>
    <row r="107" spans="1:12" x14ac:dyDescent="0.3">
      <c r="A107" t="s">
        <v>45</v>
      </c>
      <c r="D107">
        <v>1.68</v>
      </c>
      <c r="E107">
        <v>1.7250000000000001</v>
      </c>
      <c r="G107">
        <v>4.4999999999999998E-2</v>
      </c>
      <c r="H107">
        <v>4.4999999999999998E-2</v>
      </c>
    </row>
    <row r="108" spans="1:12" x14ac:dyDescent="0.3">
      <c r="A108" t="s">
        <v>45</v>
      </c>
      <c r="D108">
        <v>1.68</v>
      </c>
      <c r="E108">
        <v>1.7562</v>
      </c>
      <c r="G108">
        <v>7.6200000000000004E-2</v>
      </c>
      <c r="H108">
        <v>7.6200000000000004E-2</v>
      </c>
    </row>
    <row r="109" spans="1:12" x14ac:dyDescent="0.3">
      <c r="A109" t="s">
        <v>45</v>
      </c>
      <c r="D109">
        <v>1.68</v>
      </c>
      <c r="E109">
        <v>1.6809000000000001</v>
      </c>
      <c r="G109">
        <v>8.9999999999999998E-4</v>
      </c>
      <c r="H109">
        <v>8.9999999999999998E-4</v>
      </c>
    </row>
    <row r="110" spans="1:12" x14ac:dyDescent="0.3">
      <c r="A110" t="s">
        <v>45</v>
      </c>
      <c r="C110" t="s">
        <v>39</v>
      </c>
      <c r="D110">
        <v>10.119999999999999</v>
      </c>
      <c r="E110">
        <v>10.0898</v>
      </c>
      <c r="F110">
        <f>AVERAGE(E110:E113)</f>
        <v>10.142949999999999</v>
      </c>
      <c r="G110">
        <v>-3.0200000000000001E-2</v>
      </c>
      <c r="H110">
        <v>3.0200000000000001E-2</v>
      </c>
      <c r="I110">
        <v>2.2950000000000002E-2</v>
      </c>
      <c r="J110">
        <v>2.2677869999999998E-3</v>
      </c>
      <c r="K110">
        <v>3.805E-2</v>
      </c>
      <c r="L110">
        <v>3.7598810000000001E-3</v>
      </c>
    </row>
    <row r="111" spans="1:12" x14ac:dyDescent="0.3">
      <c r="A111" t="s">
        <v>45</v>
      </c>
      <c r="D111">
        <v>10.119999999999999</v>
      </c>
      <c r="E111">
        <v>10.132099999999999</v>
      </c>
      <c r="G111">
        <v>1.21E-2</v>
      </c>
      <c r="H111">
        <v>1.21E-2</v>
      </c>
    </row>
    <row r="112" spans="1:12" x14ac:dyDescent="0.3">
      <c r="A112" t="s">
        <v>45</v>
      </c>
      <c r="D112">
        <v>10.119999999999999</v>
      </c>
      <c r="E112">
        <v>10.189500000000001</v>
      </c>
      <c r="G112">
        <v>6.9500000000000006E-2</v>
      </c>
      <c r="H112">
        <v>6.9500000000000006E-2</v>
      </c>
    </row>
    <row r="113" spans="1:25" x14ac:dyDescent="0.3">
      <c r="A113" t="s">
        <v>45</v>
      </c>
      <c r="D113">
        <v>10.119999999999999</v>
      </c>
      <c r="E113">
        <v>10.160399999999999</v>
      </c>
      <c r="G113">
        <v>4.0399999999999998E-2</v>
      </c>
      <c r="H113">
        <v>4.0399999999999998E-2</v>
      </c>
    </row>
    <row r="114" spans="1:25" s="3" customFormat="1" x14ac:dyDescent="0.3">
      <c r="A114" s="3" t="s">
        <v>45</v>
      </c>
      <c r="B114" s="3" t="s">
        <v>40</v>
      </c>
      <c r="C114" s="3" t="s">
        <v>41</v>
      </c>
      <c r="D114" s="3">
        <v>2.5</v>
      </c>
      <c r="E114" s="3">
        <v>2.6008</v>
      </c>
      <c r="F114" s="3">
        <f>AVERAGE(E114:E117)</f>
        <v>2.6235749999999998</v>
      </c>
      <c r="G114" s="3">
        <v>0.1008</v>
      </c>
      <c r="H114" s="3">
        <v>0.1008</v>
      </c>
      <c r="I114" s="3">
        <v>0.123575</v>
      </c>
      <c r="J114" s="3">
        <v>4.9430000000000002E-2</v>
      </c>
      <c r="K114" s="3">
        <v>0.123575</v>
      </c>
      <c r="L114" s="3">
        <v>4.9430000000000002E-2</v>
      </c>
      <c r="M114" s="3">
        <v>4.290625E-2</v>
      </c>
      <c r="N114" s="3">
        <v>7.4618749999999998E-2</v>
      </c>
      <c r="O114" s="3">
        <v>2.6266784000000001E-2</v>
      </c>
      <c r="P114" s="3">
        <v>4.2202714000000002E-2</v>
      </c>
      <c r="Q114" s="3">
        <v>7.7963585000000002E-2</v>
      </c>
      <c r="W114" s="3">
        <v>7.5393719999999999E-3</v>
      </c>
      <c r="X114" s="3">
        <v>8.6829556000000002E-2</v>
      </c>
      <c r="Y114" s="3">
        <v>4.4835807999999998E-2</v>
      </c>
    </row>
    <row r="115" spans="1:25" x14ac:dyDescent="0.3">
      <c r="A115" t="s">
        <v>45</v>
      </c>
      <c r="D115">
        <v>2.5</v>
      </c>
      <c r="E115">
        <v>2.5771999999999999</v>
      </c>
      <c r="G115">
        <v>7.7200000000000005E-2</v>
      </c>
      <c r="H115">
        <v>7.7200000000000005E-2</v>
      </c>
    </row>
    <row r="116" spans="1:25" x14ac:dyDescent="0.3">
      <c r="A116" t="s">
        <v>45</v>
      </c>
      <c r="D116">
        <v>2.5</v>
      </c>
      <c r="E116">
        <v>2.6423999999999999</v>
      </c>
      <c r="G116">
        <v>0.1424</v>
      </c>
      <c r="H116">
        <v>0.1424</v>
      </c>
    </row>
    <row r="117" spans="1:25" x14ac:dyDescent="0.3">
      <c r="A117" t="s">
        <v>45</v>
      </c>
      <c r="D117">
        <v>2.5</v>
      </c>
      <c r="E117">
        <v>2.6739000000000002</v>
      </c>
      <c r="G117">
        <v>0.1739</v>
      </c>
      <c r="H117">
        <v>0.1739</v>
      </c>
    </row>
    <row r="118" spans="1:25" x14ac:dyDescent="0.3">
      <c r="A118" t="s">
        <v>45</v>
      </c>
      <c r="C118" t="s">
        <v>42</v>
      </c>
      <c r="D118">
        <v>1.99</v>
      </c>
      <c r="E118">
        <v>1.9323999999999999</v>
      </c>
      <c r="F118">
        <f>AVERAGE(E118:E121)</f>
        <v>1.9265749999999999</v>
      </c>
      <c r="G118">
        <v>-5.7599999999999998E-2</v>
      </c>
      <c r="H118">
        <v>5.7599999999999998E-2</v>
      </c>
      <c r="I118">
        <v>-6.3424999999999995E-2</v>
      </c>
      <c r="J118">
        <v>-3.1871859000000002E-2</v>
      </c>
      <c r="K118">
        <v>6.3424999999999995E-2</v>
      </c>
      <c r="L118">
        <v>3.1871859000000002E-2</v>
      </c>
    </row>
    <row r="119" spans="1:25" x14ac:dyDescent="0.3">
      <c r="A119" t="s">
        <v>45</v>
      </c>
      <c r="D119">
        <v>1.99</v>
      </c>
      <c r="E119">
        <v>1.9327000000000001</v>
      </c>
      <c r="G119">
        <v>-5.7299999999999997E-2</v>
      </c>
      <c r="H119">
        <v>5.7299999999999997E-2</v>
      </c>
    </row>
    <row r="120" spans="1:25" x14ac:dyDescent="0.3">
      <c r="A120" t="s">
        <v>45</v>
      </c>
      <c r="D120">
        <v>1.99</v>
      </c>
      <c r="E120">
        <v>1.9254</v>
      </c>
      <c r="G120">
        <v>-6.4600000000000005E-2</v>
      </c>
      <c r="H120">
        <v>6.4600000000000005E-2</v>
      </c>
    </row>
    <row r="121" spans="1:25" x14ac:dyDescent="0.3">
      <c r="A121" t="s">
        <v>45</v>
      </c>
      <c r="D121">
        <v>1.99</v>
      </c>
      <c r="E121">
        <v>1.9157999999999999</v>
      </c>
      <c r="G121">
        <v>-7.4200000000000002E-2</v>
      </c>
      <c r="H121">
        <v>7.4200000000000002E-2</v>
      </c>
    </row>
    <row r="122" spans="1:25" x14ac:dyDescent="0.3">
      <c r="A122" t="s">
        <v>45</v>
      </c>
      <c r="C122" t="s">
        <v>43</v>
      </c>
      <c r="D122">
        <v>1.64</v>
      </c>
      <c r="E122">
        <v>1.7468999999999999</v>
      </c>
      <c r="F122">
        <f>AVERAGE(E122:E125)</f>
        <v>1.7324999999999999</v>
      </c>
      <c r="G122">
        <v>0.1069</v>
      </c>
      <c r="H122">
        <v>0.1069</v>
      </c>
      <c r="I122">
        <v>9.2499999999999999E-2</v>
      </c>
      <c r="J122">
        <v>5.6402438999999999E-2</v>
      </c>
      <c r="K122">
        <v>9.2499999999999999E-2</v>
      </c>
      <c r="L122">
        <v>5.6402438999999999E-2</v>
      </c>
    </row>
    <row r="123" spans="1:25" x14ac:dyDescent="0.3">
      <c r="A123" t="s">
        <v>45</v>
      </c>
      <c r="D123">
        <v>1.64</v>
      </c>
      <c r="E123">
        <v>1.7613000000000001</v>
      </c>
      <c r="G123">
        <v>0.12130000000000001</v>
      </c>
      <c r="H123">
        <v>0.12130000000000001</v>
      </c>
    </row>
    <row r="124" spans="1:25" x14ac:dyDescent="0.3">
      <c r="A124" t="s">
        <v>45</v>
      </c>
      <c r="D124">
        <v>1.64</v>
      </c>
      <c r="E124">
        <v>1.7054</v>
      </c>
      <c r="G124">
        <v>6.54E-2</v>
      </c>
      <c r="H124">
        <v>6.54E-2</v>
      </c>
    </row>
    <row r="125" spans="1:25" x14ac:dyDescent="0.3">
      <c r="A125" t="s">
        <v>45</v>
      </c>
      <c r="D125">
        <v>1.64</v>
      </c>
      <c r="E125">
        <v>1.7163999999999999</v>
      </c>
      <c r="G125">
        <v>7.6399999999999996E-2</v>
      </c>
      <c r="H125">
        <v>7.6399999999999996E-2</v>
      </c>
    </row>
    <row r="126" spans="1:25" x14ac:dyDescent="0.3">
      <c r="A126" t="s">
        <v>45</v>
      </c>
      <c r="C126" t="s">
        <v>44</v>
      </c>
      <c r="D126">
        <v>0.61</v>
      </c>
      <c r="E126">
        <v>0.62629999999999997</v>
      </c>
      <c r="F126">
        <f>AVERAGE(E126:E129)</f>
        <v>0.62897499999999995</v>
      </c>
      <c r="G126">
        <v>1.6299999999999999E-2</v>
      </c>
      <c r="H126">
        <v>1.6299999999999999E-2</v>
      </c>
      <c r="I126">
        <v>1.8974999999999999E-2</v>
      </c>
      <c r="J126">
        <v>3.1106557E-2</v>
      </c>
      <c r="K126">
        <v>1.8974999999999999E-2</v>
      </c>
      <c r="L126">
        <v>3.1106557E-2</v>
      </c>
    </row>
    <row r="127" spans="1:25" x14ac:dyDescent="0.3">
      <c r="A127" t="s">
        <v>45</v>
      </c>
      <c r="D127">
        <v>0.61</v>
      </c>
      <c r="E127">
        <v>0.63160000000000005</v>
      </c>
      <c r="G127">
        <v>2.1600000000000001E-2</v>
      </c>
      <c r="H127">
        <v>2.1600000000000001E-2</v>
      </c>
    </row>
    <row r="128" spans="1:25" x14ac:dyDescent="0.3">
      <c r="A128" t="s">
        <v>45</v>
      </c>
      <c r="D128">
        <v>0.61</v>
      </c>
      <c r="E128">
        <v>0.62970000000000004</v>
      </c>
      <c r="G128">
        <v>1.9699999999999999E-2</v>
      </c>
      <c r="H128">
        <v>1.9699999999999999E-2</v>
      </c>
    </row>
    <row r="129" spans="1:28" x14ac:dyDescent="0.3">
      <c r="A129" t="s">
        <v>45</v>
      </c>
      <c r="D129">
        <v>0.61</v>
      </c>
      <c r="E129">
        <v>0.62829999999999997</v>
      </c>
      <c r="G129">
        <v>1.83E-2</v>
      </c>
      <c r="H129">
        <v>1.83E-2</v>
      </c>
    </row>
    <row r="130" spans="1:28" s="4" customFormat="1" x14ac:dyDescent="0.3">
      <c r="A130" s="4" t="s">
        <v>46</v>
      </c>
      <c r="B130" s="4" t="s">
        <v>28</v>
      </c>
      <c r="C130" s="4" t="s">
        <v>29</v>
      </c>
      <c r="D130" s="4">
        <v>0.48</v>
      </c>
      <c r="E130" s="4">
        <v>0.45989999999999998</v>
      </c>
      <c r="F130" s="4">
        <f>AVERAGE(E130:E133)</f>
        <v>0.46765000000000001</v>
      </c>
      <c r="G130" s="4">
        <v>-2.01E-2</v>
      </c>
      <c r="H130" s="4">
        <v>2.01E-2</v>
      </c>
      <c r="I130" s="4">
        <v>-1.235E-2</v>
      </c>
      <c r="J130" s="4">
        <v>-2.5729167000000001E-2</v>
      </c>
      <c r="K130" s="4">
        <v>1.6150000000000001E-2</v>
      </c>
      <c r="L130" s="4">
        <v>3.3645833E-2</v>
      </c>
      <c r="M130" s="4">
        <v>3.8137292000000003E-2</v>
      </c>
      <c r="N130" s="4">
        <v>6.5162708E-2</v>
      </c>
      <c r="O130" s="4">
        <v>1.2865272000000001E-2</v>
      </c>
      <c r="P130" s="4">
        <v>2.5176520000000001E-2</v>
      </c>
      <c r="Q130" s="4">
        <v>8.0401381999999993E-2</v>
      </c>
      <c r="R130" s="6">
        <v>4.2508125000000001E-2</v>
      </c>
      <c r="S130" s="6">
        <v>6.4611562999999997E-2</v>
      </c>
      <c r="T130" s="6">
        <v>1.7265336999999999E-2</v>
      </c>
      <c r="U130" s="6">
        <v>2.7420568999999999E-2</v>
      </c>
      <c r="V130" s="6">
        <v>7.9728084000000005E-2</v>
      </c>
      <c r="W130" s="4">
        <v>7.7841610000000004E-3</v>
      </c>
      <c r="X130" s="4">
        <v>8.8227890000000003E-2</v>
      </c>
      <c r="Y130" s="4">
        <v>4.1431899000000001E-2</v>
      </c>
      <c r="Z130" s="6">
        <v>8.0641870000000004E-3</v>
      </c>
      <c r="AA130" s="6">
        <v>8.9800817000000005E-2</v>
      </c>
      <c r="AB130" s="6">
        <v>4.1837583999999997E-2</v>
      </c>
    </row>
    <row r="131" spans="1:28" x14ac:dyDescent="0.3">
      <c r="A131" t="s">
        <v>46</v>
      </c>
      <c r="D131">
        <v>0.48</v>
      </c>
      <c r="E131">
        <v>0.48759999999999998</v>
      </c>
      <c r="G131">
        <v>7.6E-3</v>
      </c>
      <c r="H131">
        <v>7.6E-3</v>
      </c>
    </row>
    <row r="132" spans="1:28" x14ac:dyDescent="0.3">
      <c r="A132" t="s">
        <v>46</v>
      </c>
      <c r="D132">
        <v>0.48</v>
      </c>
      <c r="E132">
        <v>0.46650000000000003</v>
      </c>
      <c r="G132">
        <v>-1.35E-2</v>
      </c>
      <c r="H132">
        <v>1.35E-2</v>
      </c>
    </row>
    <row r="133" spans="1:28" x14ac:dyDescent="0.3">
      <c r="A133" t="s">
        <v>46</v>
      </c>
      <c r="D133">
        <v>0.48</v>
      </c>
      <c r="E133">
        <v>0.45660000000000001</v>
      </c>
      <c r="G133">
        <v>-2.3400000000000001E-2</v>
      </c>
      <c r="H133">
        <v>2.3400000000000001E-2</v>
      </c>
    </row>
    <row r="134" spans="1:28" x14ac:dyDescent="0.3">
      <c r="A134" t="s">
        <v>46</v>
      </c>
      <c r="C134" t="s">
        <v>30</v>
      </c>
      <c r="D134">
        <v>11.97</v>
      </c>
      <c r="E134">
        <v>12.150700000000001</v>
      </c>
      <c r="F134">
        <f>AVERAGE(E134:E137)</f>
        <v>12.122325</v>
      </c>
      <c r="G134">
        <v>0.1807</v>
      </c>
      <c r="H134">
        <v>0.1807</v>
      </c>
      <c r="I134">
        <v>0.15232499999999999</v>
      </c>
      <c r="J134">
        <v>1.2725564E-2</v>
      </c>
      <c r="K134">
        <v>0.15232499999999999</v>
      </c>
      <c r="L134">
        <v>1.2725564E-2</v>
      </c>
    </row>
    <row r="135" spans="1:28" x14ac:dyDescent="0.3">
      <c r="A135" t="s">
        <v>46</v>
      </c>
      <c r="D135">
        <v>11.97</v>
      </c>
      <c r="E135">
        <v>12.154</v>
      </c>
      <c r="G135">
        <v>0.184</v>
      </c>
      <c r="H135">
        <v>0.184</v>
      </c>
    </row>
    <row r="136" spans="1:28" x14ac:dyDescent="0.3">
      <c r="A136" t="s">
        <v>46</v>
      </c>
      <c r="D136">
        <v>11.97</v>
      </c>
      <c r="E136">
        <v>12.134600000000001</v>
      </c>
      <c r="G136">
        <v>0.1646</v>
      </c>
      <c r="H136">
        <v>0.1646</v>
      </c>
    </row>
    <row r="137" spans="1:28" x14ac:dyDescent="0.3">
      <c r="A137" t="s">
        <v>46</v>
      </c>
      <c r="D137">
        <v>11.97</v>
      </c>
      <c r="E137">
        <v>12.05</v>
      </c>
      <c r="G137">
        <v>0.08</v>
      </c>
      <c r="H137">
        <v>0.08</v>
      </c>
    </row>
    <row r="138" spans="1:28" x14ac:dyDescent="0.3">
      <c r="A138" t="s">
        <v>46</v>
      </c>
      <c r="C138" t="s">
        <v>31</v>
      </c>
      <c r="D138">
        <v>8.5500000000000007</v>
      </c>
      <c r="E138">
        <v>8.4852000000000007</v>
      </c>
      <c r="F138">
        <f>AVERAGE(E138:E141)</f>
        <v>8.5725724999999997</v>
      </c>
      <c r="G138">
        <v>-6.4799999999999996E-2</v>
      </c>
      <c r="H138">
        <v>6.4799999999999996E-2</v>
      </c>
      <c r="I138">
        <v>2.2572499999999999E-2</v>
      </c>
      <c r="J138">
        <v>2.6400579999999998E-3</v>
      </c>
      <c r="K138">
        <v>6.7627499999999993E-2</v>
      </c>
      <c r="L138">
        <v>7.9096489999999995E-3</v>
      </c>
    </row>
    <row r="139" spans="1:28" x14ac:dyDescent="0.3">
      <c r="A139" t="s">
        <v>46</v>
      </c>
      <c r="D139">
        <v>8.5500000000000007</v>
      </c>
      <c r="E139">
        <v>8.6351999999999993</v>
      </c>
      <c r="G139">
        <v>8.5199999999999998E-2</v>
      </c>
      <c r="H139">
        <v>8.5199999999999998E-2</v>
      </c>
    </row>
    <row r="140" spans="1:28" x14ac:dyDescent="0.3">
      <c r="A140" t="s">
        <v>46</v>
      </c>
      <c r="D140">
        <v>8.5500000000000007</v>
      </c>
      <c r="E140">
        <v>8.6452000000000009</v>
      </c>
      <c r="G140">
        <v>9.5200000000000007E-2</v>
      </c>
      <c r="H140">
        <v>9.5200000000000007E-2</v>
      </c>
    </row>
    <row r="141" spans="1:28" x14ac:dyDescent="0.3">
      <c r="A141" t="s">
        <v>46</v>
      </c>
      <c r="D141">
        <v>8.5500000000000007</v>
      </c>
      <c r="E141">
        <v>8.5246899999999997</v>
      </c>
      <c r="G141">
        <v>-2.5309999999999999E-2</v>
      </c>
      <c r="H141">
        <v>2.5309999999999999E-2</v>
      </c>
    </row>
    <row r="142" spans="1:28" x14ac:dyDescent="0.3">
      <c r="A142" t="s">
        <v>46</v>
      </c>
      <c r="C142" t="s">
        <v>32</v>
      </c>
      <c r="D142">
        <v>0.75</v>
      </c>
      <c r="E142">
        <v>0.75619999999999998</v>
      </c>
      <c r="F142">
        <f>AVERAGE(E142:E145)</f>
        <v>0.76577499999999998</v>
      </c>
      <c r="G142">
        <v>6.1999999999999998E-3</v>
      </c>
      <c r="H142">
        <v>6.1999999999999998E-3</v>
      </c>
      <c r="I142">
        <v>1.5775000000000001E-2</v>
      </c>
      <c r="J142">
        <v>2.1033333000000001E-2</v>
      </c>
      <c r="K142">
        <v>1.8124999999999999E-2</v>
      </c>
      <c r="L142">
        <v>2.4166666999999999E-2</v>
      </c>
    </row>
    <row r="143" spans="1:28" x14ac:dyDescent="0.3">
      <c r="A143" t="s">
        <v>46</v>
      </c>
      <c r="D143">
        <v>0.75</v>
      </c>
      <c r="E143">
        <v>0.79720000000000002</v>
      </c>
      <c r="G143">
        <v>4.7199999999999999E-2</v>
      </c>
      <c r="H143">
        <v>4.7199999999999999E-2</v>
      </c>
    </row>
    <row r="144" spans="1:28" x14ac:dyDescent="0.3">
      <c r="A144" t="s">
        <v>46</v>
      </c>
      <c r="D144">
        <v>0.75</v>
      </c>
      <c r="E144">
        <v>0.76439999999999997</v>
      </c>
      <c r="G144">
        <v>1.44E-2</v>
      </c>
      <c r="H144">
        <v>1.44E-2</v>
      </c>
    </row>
    <row r="145" spans="1:12" x14ac:dyDescent="0.3">
      <c r="A145" t="s">
        <v>46</v>
      </c>
      <c r="D145">
        <v>0.75</v>
      </c>
      <c r="E145">
        <v>0.74529999999999996</v>
      </c>
      <c r="G145">
        <v>-4.7000000000000002E-3</v>
      </c>
      <c r="H145">
        <v>4.7000000000000002E-3</v>
      </c>
    </row>
    <row r="146" spans="1:12" x14ac:dyDescent="0.3">
      <c r="A146" t="s">
        <v>46</v>
      </c>
      <c r="B146" t="s">
        <v>33</v>
      </c>
      <c r="C146" t="s">
        <v>29</v>
      </c>
      <c r="D146">
        <v>0.48</v>
      </c>
      <c r="E146">
        <v>0.4753</v>
      </c>
      <c r="F146">
        <f>AVERAGE(E146:E149)</f>
        <v>0.50312500000000004</v>
      </c>
      <c r="G146">
        <v>-4.7000000000000002E-3</v>
      </c>
      <c r="H146">
        <v>4.7000000000000002E-3</v>
      </c>
      <c r="I146">
        <v>2.3125E-2</v>
      </c>
      <c r="J146">
        <v>4.8177083000000002E-2</v>
      </c>
      <c r="K146">
        <v>3.9574999999999999E-2</v>
      </c>
      <c r="L146">
        <v>8.2447916999999996E-2</v>
      </c>
    </row>
    <row r="147" spans="1:12" x14ac:dyDescent="0.3">
      <c r="A147" t="s">
        <v>46</v>
      </c>
      <c r="D147">
        <v>0.48</v>
      </c>
      <c r="E147">
        <v>0.45179999999999998</v>
      </c>
      <c r="G147">
        <v>-2.8199999999999999E-2</v>
      </c>
      <c r="H147">
        <v>2.8199999999999999E-2</v>
      </c>
    </row>
    <row r="148" spans="1:12" x14ac:dyDescent="0.3">
      <c r="A148" t="s">
        <v>46</v>
      </c>
      <c r="D148">
        <v>0.48</v>
      </c>
      <c r="E148">
        <v>0.52159999999999995</v>
      </c>
      <c r="G148">
        <v>4.1599999999999998E-2</v>
      </c>
      <c r="H148">
        <v>4.1599999999999998E-2</v>
      </c>
    </row>
    <row r="149" spans="1:12" x14ac:dyDescent="0.3">
      <c r="A149" t="s">
        <v>46</v>
      </c>
      <c r="D149">
        <v>0.48</v>
      </c>
      <c r="E149">
        <v>0.56379999999999997</v>
      </c>
      <c r="G149">
        <v>8.3799999999999999E-2</v>
      </c>
      <c r="H149">
        <v>8.3799999999999999E-2</v>
      </c>
    </row>
    <row r="150" spans="1:12" x14ac:dyDescent="0.3">
      <c r="A150" t="s">
        <v>46</v>
      </c>
      <c r="C150" t="s">
        <v>30</v>
      </c>
      <c r="D150">
        <v>11.97</v>
      </c>
      <c r="E150">
        <v>11.969099999999999</v>
      </c>
      <c r="F150">
        <f>AVERAGE(E150:E153)</f>
        <v>12.019825000000001</v>
      </c>
      <c r="G150">
        <v>-8.9999999999999998E-4</v>
      </c>
      <c r="H150">
        <v>8.9999999999999998E-4</v>
      </c>
      <c r="I150">
        <v>4.9825000000000001E-2</v>
      </c>
      <c r="J150">
        <v>4.1624899999999996E-3</v>
      </c>
      <c r="K150">
        <v>5.7224999999999998E-2</v>
      </c>
      <c r="L150">
        <v>4.7807020000000004E-3</v>
      </c>
    </row>
    <row r="151" spans="1:12" x14ac:dyDescent="0.3">
      <c r="A151" t="s">
        <v>46</v>
      </c>
      <c r="D151">
        <v>11.97</v>
      </c>
      <c r="E151">
        <v>12.158300000000001</v>
      </c>
      <c r="G151">
        <v>0.1883</v>
      </c>
      <c r="H151">
        <v>0.1883</v>
      </c>
    </row>
    <row r="152" spans="1:12" x14ac:dyDescent="0.3">
      <c r="A152" t="s">
        <v>46</v>
      </c>
      <c r="D152">
        <v>11.97</v>
      </c>
      <c r="E152">
        <v>11.956099999999999</v>
      </c>
      <c r="G152">
        <v>-1.3899999999999999E-2</v>
      </c>
      <c r="H152">
        <v>1.3899999999999999E-2</v>
      </c>
    </row>
    <row r="153" spans="1:12" x14ac:dyDescent="0.3">
      <c r="A153" t="s">
        <v>46</v>
      </c>
      <c r="D153">
        <v>11.97</v>
      </c>
      <c r="E153">
        <v>11.995799999999999</v>
      </c>
      <c r="G153">
        <v>2.58E-2</v>
      </c>
      <c r="H153">
        <v>2.58E-2</v>
      </c>
    </row>
    <row r="154" spans="1:12" x14ac:dyDescent="0.3">
      <c r="A154" t="s">
        <v>46</v>
      </c>
      <c r="C154" t="s">
        <v>31</v>
      </c>
      <c r="D154">
        <v>8.5500000000000007</v>
      </c>
      <c r="E154">
        <v>8.7339000000000002</v>
      </c>
      <c r="F154">
        <f>AVERAGE(E154:E157)</f>
        <v>8.59985</v>
      </c>
      <c r="G154">
        <v>0.18390000000000001</v>
      </c>
      <c r="H154">
        <v>0.18390000000000001</v>
      </c>
      <c r="I154">
        <v>4.9849999999999998E-2</v>
      </c>
      <c r="J154">
        <v>5.8304089999999999E-3</v>
      </c>
      <c r="K154">
        <v>6.25E-2</v>
      </c>
      <c r="L154">
        <v>7.3099419999999998E-3</v>
      </c>
    </row>
    <row r="155" spans="1:12" x14ac:dyDescent="0.3">
      <c r="A155" t="s">
        <v>46</v>
      </c>
      <c r="D155">
        <v>8.5500000000000007</v>
      </c>
      <c r="E155">
        <v>8.5246999999999993</v>
      </c>
      <c r="G155">
        <v>-2.53E-2</v>
      </c>
      <c r="H155">
        <v>2.53E-2</v>
      </c>
    </row>
    <row r="156" spans="1:12" x14ac:dyDescent="0.3">
      <c r="A156" t="s">
        <v>46</v>
      </c>
      <c r="D156">
        <v>8.5500000000000007</v>
      </c>
      <c r="E156">
        <v>8.5626999999999995</v>
      </c>
      <c r="G156">
        <v>1.2699999999999999E-2</v>
      </c>
      <c r="H156">
        <v>1.2699999999999999E-2</v>
      </c>
    </row>
    <row r="157" spans="1:12" x14ac:dyDescent="0.3">
      <c r="A157" t="s">
        <v>46</v>
      </c>
      <c r="D157">
        <v>8.5500000000000007</v>
      </c>
      <c r="E157">
        <v>8.5780999999999992</v>
      </c>
      <c r="G157">
        <v>2.81E-2</v>
      </c>
      <c r="H157">
        <v>2.81E-2</v>
      </c>
    </row>
    <row r="158" spans="1:12" x14ac:dyDescent="0.3">
      <c r="A158" t="s">
        <v>46</v>
      </c>
      <c r="C158" t="s">
        <v>32</v>
      </c>
      <c r="D158">
        <v>0.75</v>
      </c>
      <c r="E158">
        <v>0.71140000000000003</v>
      </c>
      <c r="F158">
        <f>AVERAGE(E158:E161)</f>
        <v>0.74130000000000007</v>
      </c>
      <c r="G158">
        <v>-3.8600000000000002E-2</v>
      </c>
      <c r="H158">
        <v>3.8600000000000002E-2</v>
      </c>
      <c r="I158">
        <v>-8.6999999999999994E-3</v>
      </c>
      <c r="J158">
        <v>-1.1599999999999999E-2</v>
      </c>
      <c r="K158">
        <v>1.455E-2</v>
      </c>
      <c r="L158">
        <v>1.9400000000000001E-2</v>
      </c>
    </row>
    <row r="159" spans="1:12" x14ac:dyDescent="0.3">
      <c r="A159" t="s">
        <v>46</v>
      </c>
      <c r="D159">
        <v>0.75</v>
      </c>
      <c r="E159">
        <v>0.75260000000000005</v>
      </c>
      <c r="G159">
        <v>2.5999999999999999E-3</v>
      </c>
      <c r="H159">
        <v>2.5999999999999999E-3</v>
      </c>
    </row>
    <row r="160" spans="1:12" x14ac:dyDescent="0.3">
      <c r="A160" t="s">
        <v>46</v>
      </c>
      <c r="D160">
        <v>0.75</v>
      </c>
      <c r="E160">
        <v>0.74209999999999998</v>
      </c>
      <c r="G160">
        <v>-7.9000000000000008E-3</v>
      </c>
      <c r="H160">
        <v>7.9000000000000008E-3</v>
      </c>
    </row>
    <row r="161" spans="1:12" x14ac:dyDescent="0.3">
      <c r="A161" t="s">
        <v>46</v>
      </c>
      <c r="D161">
        <v>0.75</v>
      </c>
      <c r="E161">
        <v>0.7591</v>
      </c>
      <c r="G161">
        <v>9.1000000000000004E-3</v>
      </c>
      <c r="H161">
        <v>9.1000000000000004E-3</v>
      </c>
    </row>
    <row r="162" spans="1:12" x14ac:dyDescent="0.3">
      <c r="A162" t="s">
        <v>46</v>
      </c>
      <c r="B162" t="s">
        <v>35</v>
      </c>
      <c r="C162" t="s">
        <v>36</v>
      </c>
      <c r="D162">
        <v>3.1</v>
      </c>
      <c r="E162">
        <v>3.2086000000000001</v>
      </c>
      <c r="F162">
        <f>AVERAGE(E162:E165)</f>
        <v>3.1916500000000001</v>
      </c>
      <c r="G162">
        <v>0.1086</v>
      </c>
      <c r="H162">
        <v>0.1086</v>
      </c>
      <c r="I162">
        <v>9.1649999999999995E-2</v>
      </c>
      <c r="J162">
        <v>2.9564515999999999E-2</v>
      </c>
      <c r="K162">
        <v>9.1649999999999995E-2</v>
      </c>
      <c r="L162">
        <v>2.9564515999999999E-2</v>
      </c>
    </row>
    <row r="163" spans="1:12" x14ac:dyDescent="0.3">
      <c r="A163" t="s">
        <v>46</v>
      </c>
      <c r="D163">
        <v>3.1</v>
      </c>
      <c r="E163">
        <v>3.1892</v>
      </c>
      <c r="G163">
        <v>8.9200000000000002E-2</v>
      </c>
      <c r="H163">
        <v>8.9200000000000002E-2</v>
      </c>
    </row>
    <row r="164" spans="1:12" x14ac:dyDescent="0.3">
      <c r="A164" t="s">
        <v>46</v>
      </c>
      <c r="D164">
        <v>3.1</v>
      </c>
      <c r="E164">
        <v>3.1724999999999999</v>
      </c>
      <c r="G164">
        <v>7.2499999999999995E-2</v>
      </c>
      <c r="H164">
        <v>7.2499999999999995E-2</v>
      </c>
    </row>
    <row r="165" spans="1:12" x14ac:dyDescent="0.3">
      <c r="A165" t="s">
        <v>46</v>
      </c>
      <c r="D165">
        <v>3.1</v>
      </c>
      <c r="E165">
        <v>3.1962999999999999</v>
      </c>
      <c r="G165">
        <v>9.6299999999999997E-2</v>
      </c>
      <c r="H165">
        <v>9.6299999999999997E-2</v>
      </c>
    </row>
    <row r="166" spans="1:12" x14ac:dyDescent="0.3">
      <c r="A166" t="s">
        <v>46</v>
      </c>
      <c r="C166" t="s">
        <v>37</v>
      </c>
      <c r="D166">
        <v>15.16</v>
      </c>
      <c r="E166">
        <v>15.016299999999999</v>
      </c>
      <c r="F166">
        <f>AVERAGE(E166:E169)</f>
        <v>15.094850000000001</v>
      </c>
      <c r="G166">
        <v>-0.14369999999999999</v>
      </c>
      <c r="H166">
        <v>0.14369999999999999</v>
      </c>
      <c r="I166">
        <v>-6.515E-2</v>
      </c>
      <c r="J166">
        <v>-4.2974930000000003E-3</v>
      </c>
      <c r="K166">
        <v>0.1191</v>
      </c>
      <c r="L166">
        <v>7.8562010000000002E-3</v>
      </c>
    </row>
    <row r="167" spans="1:12" x14ac:dyDescent="0.3">
      <c r="A167" t="s">
        <v>46</v>
      </c>
      <c r="D167">
        <v>15.16</v>
      </c>
      <c r="E167">
        <v>15.0146</v>
      </c>
      <c r="G167">
        <v>-0.1454</v>
      </c>
      <c r="H167">
        <v>0.1454</v>
      </c>
    </row>
    <row r="168" spans="1:12" x14ac:dyDescent="0.3">
      <c r="A168" t="s">
        <v>46</v>
      </c>
      <c r="D168">
        <v>15.16</v>
      </c>
      <c r="E168">
        <v>15.267899999999999</v>
      </c>
      <c r="G168">
        <v>0.1079</v>
      </c>
      <c r="H168">
        <v>0.1079</v>
      </c>
    </row>
    <row r="169" spans="1:12" x14ac:dyDescent="0.3">
      <c r="A169" t="s">
        <v>46</v>
      </c>
      <c r="D169">
        <v>15.16</v>
      </c>
      <c r="E169">
        <v>15.0806</v>
      </c>
      <c r="G169">
        <v>-7.9399999999999998E-2</v>
      </c>
      <c r="H169">
        <v>7.9399999999999998E-2</v>
      </c>
    </row>
    <row r="170" spans="1:12" x14ac:dyDescent="0.3">
      <c r="A170" t="s">
        <v>46</v>
      </c>
      <c r="C170" t="s">
        <v>38</v>
      </c>
      <c r="D170">
        <v>1.68</v>
      </c>
      <c r="E170">
        <v>1.7537</v>
      </c>
      <c r="F170">
        <f>AVERAGE(E170:E173)</f>
        <v>1.797175</v>
      </c>
      <c r="G170">
        <v>7.3700000000000002E-2</v>
      </c>
      <c r="H170">
        <v>7.3700000000000002E-2</v>
      </c>
      <c r="I170">
        <v>0.117175</v>
      </c>
      <c r="J170">
        <v>6.9747024000000005E-2</v>
      </c>
      <c r="K170">
        <v>0.117175</v>
      </c>
      <c r="L170">
        <v>6.9747024000000005E-2</v>
      </c>
    </row>
    <row r="171" spans="1:12" x14ac:dyDescent="0.3">
      <c r="A171" t="s">
        <v>46</v>
      </c>
      <c r="D171">
        <v>1.68</v>
      </c>
      <c r="E171">
        <v>1.7972999999999999</v>
      </c>
      <c r="G171">
        <v>0.1173</v>
      </c>
      <c r="H171">
        <v>0.1173</v>
      </c>
    </row>
    <row r="172" spans="1:12" x14ac:dyDescent="0.3">
      <c r="A172" t="s">
        <v>46</v>
      </c>
      <c r="D172">
        <v>1.68</v>
      </c>
      <c r="E172">
        <v>1.7625999999999999</v>
      </c>
      <c r="G172">
        <v>8.2600000000000007E-2</v>
      </c>
      <c r="H172">
        <v>8.2600000000000007E-2</v>
      </c>
    </row>
    <row r="173" spans="1:12" x14ac:dyDescent="0.3">
      <c r="A173" t="s">
        <v>46</v>
      </c>
      <c r="D173">
        <v>1.68</v>
      </c>
      <c r="E173">
        <v>1.8751</v>
      </c>
      <c r="G173">
        <v>0.1951</v>
      </c>
      <c r="H173">
        <v>0.1951</v>
      </c>
    </row>
    <row r="174" spans="1:12" x14ac:dyDescent="0.3">
      <c r="A174" t="s">
        <v>46</v>
      </c>
      <c r="C174" t="s">
        <v>39</v>
      </c>
      <c r="D174">
        <v>10.119999999999999</v>
      </c>
      <c r="E174">
        <v>10.1275</v>
      </c>
      <c r="F174">
        <f>AVERAGE(E174:E177)</f>
        <v>10.141549999999999</v>
      </c>
      <c r="G174">
        <v>7.4999999999999997E-3</v>
      </c>
      <c r="H174">
        <v>7.4999999999999997E-3</v>
      </c>
      <c r="I174">
        <v>2.155E-2</v>
      </c>
      <c r="J174">
        <v>2.129447E-3</v>
      </c>
      <c r="K174">
        <v>2.5950000000000001E-2</v>
      </c>
      <c r="L174">
        <v>2.5642289999999999E-3</v>
      </c>
    </row>
    <row r="175" spans="1:12" x14ac:dyDescent="0.3">
      <c r="A175" t="s">
        <v>46</v>
      </c>
      <c r="D175">
        <v>10.119999999999999</v>
      </c>
      <c r="E175">
        <v>10.1168</v>
      </c>
      <c r="G175">
        <v>-3.2000000000000002E-3</v>
      </c>
      <c r="H175">
        <v>3.2000000000000002E-3</v>
      </c>
    </row>
    <row r="176" spans="1:12" x14ac:dyDescent="0.3">
      <c r="A176" t="s">
        <v>46</v>
      </c>
      <c r="D176">
        <v>10.119999999999999</v>
      </c>
      <c r="E176">
        <v>10.1144</v>
      </c>
      <c r="G176">
        <v>-5.5999999999999999E-3</v>
      </c>
      <c r="H176">
        <v>5.5999999999999999E-3</v>
      </c>
    </row>
    <row r="177" spans="1:25" x14ac:dyDescent="0.3">
      <c r="A177" t="s">
        <v>46</v>
      </c>
      <c r="D177">
        <v>10.119999999999999</v>
      </c>
      <c r="E177">
        <v>10.2075</v>
      </c>
      <c r="G177">
        <v>8.7499999999999994E-2</v>
      </c>
      <c r="H177">
        <v>8.7499999999999994E-2</v>
      </c>
    </row>
    <row r="178" spans="1:25" s="3" customFormat="1" x14ac:dyDescent="0.3">
      <c r="A178" s="3" t="s">
        <v>46</v>
      </c>
      <c r="B178" s="3" t="s">
        <v>40</v>
      </c>
      <c r="C178" s="3" t="s">
        <v>41</v>
      </c>
      <c r="D178" s="3">
        <v>2.5</v>
      </c>
      <c r="E178" s="3">
        <v>2.6865000000000001</v>
      </c>
      <c r="F178" s="3">
        <f>AVERAGE(E178:E181)</f>
        <v>2.6827000000000001</v>
      </c>
      <c r="G178" s="3">
        <v>0.1865</v>
      </c>
      <c r="H178" s="3">
        <v>0.1865</v>
      </c>
      <c r="I178" s="3">
        <v>0.1827</v>
      </c>
      <c r="J178" s="3">
        <v>7.3080000000000006E-2</v>
      </c>
      <c r="K178" s="3">
        <v>0.1827</v>
      </c>
      <c r="L178" s="3">
        <v>7.3080000000000006E-2</v>
      </c>
      <c r="M178" s="3">
        <v>5.5620625E-2</v>
      </c>
      <c r="N178" s="3">
        <v>6.2958125000000004E-2</v>
      </c>
      <c r="O178" s="3">
        <v>3.0465531000000001E-2</v>
      </c>
      <c r="P178" s="3">
        <v>3.4152716999999999E-2</v>
      </c>
      <c r="Q178" s="3">
        <v>7.8727284999999994E-2</v>
      </c>
      <c r="W178" s="3">
        <v>8.9042649999999997E-3</v>
      </c>
      <c r="X178" s="3">
        <v>9.4362414000000006E-2</v>
      </c>
      <c r="Y178" s="3">
        <v>4.3031695000000002E-2</v>
      </c>
    </row>
    <row r="179" spans="1:25" x14ac:dyDescent="0.3">
      <c r="A179" t="s">
        <v>46</v>
      </c>
      <c r="D179">
        <v>2.5</v>
      </c>
      <c r="E179">
        <v>2.6858</v>
      </c>
      <c r="G179">
        <v>0.18579999999999999</v>
      </c>
      <c r="H179">
        <v>0.18579999999999999</v>
      </c>
    </row>
    <row r="180" spans="1:25" x14ac:dyDescent="0.3">
      <c r="A180" t="s">
        <v>46</v>
      </c>
      <c r="D180">
        <v>2.5</v>
      </c>
      <c r="E180">
        <v>2.6796000000000002</v>
      </c>
      <c r="G180">
        <v>0.17960000000000001</v>
      </c>
      <c r="H180">
        <v>0.17960000000000001</v>
      </c>
    </row>
    <row r="181" spans="1:25" x14ac:dyDescent="0.3">
      <c r="A181" t="s">
        <v>46</v>
      </c>
      <c r="D181">
        <v>2.5</v>
      </c>
      <c r="E181">
        <v>2.6789000000000001</v>
      </c>
      <c r="G181">
        <v>0.1789</v>
      </c>
      <c r="H181">
        <v>0.1789</v>
      </c>
    </row>
    <row r="182" spans="1:25" x14ac:dyDescent="0.3">
      <c r="A182" t="s">
        <v>46</v>
      </c>
      <c r="C182" t="s">
        <v>42</v>
      </c>
      <c r="D182">
        <v>1.99</v>
      </c>
      <c r="E182">
        <v>1.9759</v>
      </c>
      <c r="F182">
        <f>AVERAGE(E182:E185)</f>
        <v>1.9756500000000001</v>
      </c>
      <c r="G182">
        <v>-1.41E-2</v>
      </c>
      <c r="H182">
        <v>1.41E-2</v>
      </c>
      <c r="I182">
        <v>-1.435E-2</v>
      </c>
      <c r="J182">
        <v>-7.2110550000000001E-3</v>
      </c>
      <c r="K182">
        <v>1.4999999999999999E-2</v>
      </c>
      <c r="L182">
        <v>7.5376879999999999E-3</v>
      </c>
    </row>
    <row r="183" spans="1:25" x14ac:dyDescent="0.3">
      <c r="A183" t="s">
        <v>46</v>
      </c>
      <c r="D183">
        <v>1.99</v>
      </c>
      <c r="E183">
        <v>1.9913000000000001</v>
      </c>
      <c r="G183">
        <v>1.2999999999999999E-3</v>
      </c>
      <c r="H183">
        <v>1.2999999999999999E-3</v>
      </c>
    </row>
    <row r="184" spans="1:25" x14ac:dyDescent="0.3">
      <c r="A184" t="s">
        <v>46</v>
      </c>
      <c r="D184">
        <v>1.99</v>
      </c>
      <c r="E184">
        <v>1.9839</v>
      </c>
      <c r="G184">
        <v>-6.1000000000000004E-3</v>
      </c>
      <c r="H184">
        <v>6.1000000000000004E-3</v>
      </c>
    </row>
    <row r="185" spans="1:25" x14ac:dyDescent="0.3">
      <c r="A185" t="s">
        <v>46</v>
      </c>
      <c r="D185">
        <v>1.99</v>
      </c>
      <c r="E185">
        <v>1.9515</v>
      </c>
      <c r="G185">
        <v>-3.85E-2</v>
      </c>
      <c r="H185">
        <v>3.85E-2</v>
      </c>
    </row>
    <row r="186" spans="1:25" x14ac:dyDescent="0.3">
      <c r="A186" t="s">
        <v>46</v>
      </c>
      <c r="C186" t="s">
        <v>43</v>
      </c>
      <c r="D186">
        <v>1.64</v>
      </c>
      <c r="E186">
        <v>1.6502300000000001</v>
      </c>
      <c r="F186">
        <f>AVERAGE(E186:E189)</f>
        <v>1.6718075000000001</v>
      </c>
      <c r="G186">
        <v>1.023E-2</v>
      </c>
      <c r="H186">
        <v>1.023E-2</v>
      </c>
      <c r="I186">
        <v>3.1807500000000002E-2</v>
      </c>
      <c r="J186">
        <v>1.9394817000000002E-2</v>
      </c>
      <c r="K186">
        <v>3.1807500000000002E-2</v>
      </c>
      <c r="L186">
        <v>1.9394817000000002E-2</v>
      </c>
    </row>
    <row r="187" spans="1:25" x14ac:dyDescent="0.3">
      <c r="A187" t="s">
        <v>46</v>
      </c>
      <c r="D187">
        <v>1.64</v>
      </c>
      <c r="E187">
        <v>1.6669</v>
      </c>
      <c r="G187">
        <v>2.69E-2</v>
      </c>
      <c r="H187">
        <v>2.69E-2</v>
      </c>
    </row>
    <row r="188" spans="1:25" x14ac:dyDescent="0.3">
      <c r="A188" t="s">
        <v>46</v>
      </c>
      <c r="D188">
        <v>1.64</v>
      </c>
      <c r="E188">
        <v>1.6791</v>
      </c>
      <c r="G188">
        <v>3.9100000000000003E-2</v>
      </c>
      <c r="H188">
        <v>3.9100000000000003E-2</v>
      </c>
    </row>
    <row r="189" spans="1:25" x14ac:dyDescent="0.3">
      <c r="A189" t="s">
        <v>46</v>
      </c>
      <c r="D189">
        <v>1.64</v>
      </c>
      <c r="E189">
        <v>1.6910000000000001</v>
      </c>
      <c r="G189">
        <v>5.0999999999999997E-2</v>
      </c>
      <c r="H189">
        <v>5.0999999999999997E-2</v>
      </c>
    </row>
    <row r="190" spans="1:25" x14ac:dyDescent="0.3">
      <c r="A190" t="s">
        <v>46</v>
      </c>
      <c r="C190" t="s">
        <v>44</v>
      </c>
      <c r="D190">
        <v>0.61</v>
      </c>
      <c r="E190">
        <v>0.62250000000000005</v>
      </c>
      <c r="F190">
        <f>AVERAGE(E190:E193)</f>
        <v>0.63232500000000003</v>
      </c>
      <c r="G190">
        <v>1.2500000000000001E-2</v>
      </c>
      <c r="H190">
        <v>1.2500000000000001E-2</v>
      </c>
      <c r="I190">
        <v>2.2325000000000001E-2</v>
      </c>
      <c r="J190">
        <v>3.6598361000000003E-2</v>
      </c>
      <c r="K190">
        <v>2.2325000000000001E-2</v>
      </c>
      <c r="L190">
        <v>3.6598361000000003E-2</v>
      </c>
    </row>
    <row r="191" spans="1:25" x14ac:dyDescent="0.3">
      <c r="A191" t="s">
        <v>46</v>
      </c>
      <c r="D191">
        <v>0.61</v>
      </c>
      <c r="E191">
        <v>0.62749999999999995</v>
      </c>
      <c r="G191">
        <v>1.7500000000000002E-2</v>
      </c>
      <c r="H191">
        <v>1.7500000000000002E-2</v>
      </c>
    </row>
    <row r="192" spans="1:25" x14ac:dyDescent="0.3">
      <c r="A192" t="s">
        <v>46</v>
      </c>
      <c r="D192">
        <v>0.61</v>
      </c>
      <c r="E192">
        <v>0.63819999999999999</v>
      </c>
      <c r="G192">
        <v>2.8199999999999999E-2</v>
      </c>
      <c r="H192">
        <v>2.8199999999999999E-2</v>
      </c>
    </row>
    <row r="193" spans="1:28" x14ac:dyDescent="0.3">
      <c r="A193" t="s">
        <v>46</v>
      </c>
      <c r="D193">
        <v>0.61</v>
      </c>
      <c r="E193">
        <v>0.6411</v>
      </c>
      <c r="G193">
        <v>3.1099999999999999E-2</v>
      </c>
      <c r="H193">
        <v>3.1099999999999999E-2</v>
      </c>
    </row>
    <row r="194" spans="1:28" s="4" customFormat="1" x14ac:dyDescent="0.3">
      <c r="A194" s="4" t="s">
        <v>47</v>
      </c>
      <c r="B194" s="4" t="s">
        <v>28</v>
      </c>
      <c r="C194" s="4" t="s">
        <v>29</v>
      </c>
      <c r="D194" s="4">
        <v>0.48</v>
      </c>
      <c r="E194" s="4">
        <v>0.41959999999999997</v>
      </c>
      <c r="F194" s="4">
        <f>AVERAGE(E194:E197)</f>
        <v>0.42645</v>
      </c>
      <c r="G194" s="4">
        <f t="shared" ref="G194:G225" si="0">E194-D194</f>
        <v>-6.0400000000000009E-2</v>
      </c>
      <c r="H194" s="4">
        <f>ABS(G194)</f>
        <v>6.0400000000000009E-2</v>
      </c>
      <c r="I194" s="4">
        <f>AVERAGE(G194:G197)</f>
        <v>-5.3549999999999986E-2</v>
      </c>
      <c r="J194" s="4">
        <f>I194/D194</f>
        <v>-0.11156249999999998</v>
      </c>
      <c r="K194" s="4">
        <f>AVERAGE(H194:H197)</f>
        <v>5.3549999999999986E-2</v>
      </c>
      <c r="L194" s="4" cm="1">
        <f t="array" ref="L194">AVERAGE(H194:H197/D194:D197)</f>
        <v>0.11156249999999998</v>
      </c>
      <c r="M194" s="4">
        <f>AVERAGE(G194:G241)</f>
        <v>1.8608333333333196E-2</v>
      </c>
      <c r="N194" s="4">
        <f>AVERAGE(H194:H241)</f>
        <v>7.4458333333333251E-2</v>
      </c>
      <c r="O194" s="4" cm="1">
        <f t="array" ref="O194">AVERAGE(G194:G241/D194:D241)</f>
        <v>8.021824814648951E-3</v>
      </c>
      <c r="P194" s="4" cm="1">
        <f t="array" ref="P194">AVERAGE(H194:H241/D194:D241)</f>
        <v>3.3946983545526443E-2</v>
      </c>
      <c r="Q194" s="4">
        <f>_xlfn.STDEV.S(G194:G241)</f>
        <v>9.9192724152644809E-2</v>
      </c>
      <c r="R194" s="6">
        <f>AVERAGE(G194:G257)</f>
        <v>1.3435937499999903E-2</v>
      </c>
      <c r="S194" s="6">
        <f>AVERAGE(H194:H257)</f>
        <v>6.4748437499999978E-2</v>
      </c>
      <c r="T194" s="6" cm="1">
        <f t="array" ref="T194">AVERAGE(G194:G257/D194:D257)</f>
        <v>5.9013870489632867E-3</v>
      </c>
      <c r="U194" s="6" cm="1">
        <f t="array" ref="U194">AVERAGE(H194:H257/D194:D257)</f>
        <v>3.0708509968939514E-2</v>
      </c>
      <c r="V194" s="6">
        <f>_xlfn.STDEV.S(G194:G257)</f>
        <v>8.8894662769754648E-2</v>
      </c>
      <c r="W194" s="4" cm="1">
        <f t="array" ref="W194">AVERAGE(G194:G241^2)</f>
        <v>9.9804833333333176E-3</v>
      </c>
      <c r="X194" s="4">
        <f>SQRT(W194)</f>
        <v>9.990236900761322E-2</v>
      </c>
      <c r="Y194" s="4" cm="1">
        <f t="array" ref="Y194">SQRT(AVERAGE((G194:G241/D194:D241)^2))</f>
        <v>5.7435283648164227E-2</v>
      </c>
      <c r="Z194" s="6" cm="1">
        <f t="array" ref="Z194">AVERAGE(G194:G257^2)</f>
        <v>7.959312656249988E-3</v>
      </c>
      <c r="AA194" s="6">
        <f>SQRT(Z194)</f>
        <v>8.9214979999157021E-2</v>
      </c>
      <c r="AB194" s="6" cm="1">
        <f t="array" ref="AB194">SQRT(AVERAGE((G194:G257/D194:D257)^2))</f>
        <v>5.1147317449081936E-2</v>
      </c>
    </row>
    <row r="195" spans="1:28" x14ac:dyDescent="0.3">
      <c r="A195" t="s">
        <v>47</v>
      </c>
      <c r="D195">
        <v>0.48</v>
      </c>
      <c r="E195">
        <v>0.41289999999999999</v>
      </c>
      <c r="G195">
        <f t="shared" si="0"/>
        <v>-6.7099999999999993E-2</v>
      </c>
      <c r="H195">
        <f t="shared" ref="H195:H257" si="1">ABS(G195)</f>
        <v>6.7099999999999993E-2</v>
      </c>
      <c r="R195" s="1"/>
      <c r="S195" s="1"/>
      <c r="T195" s="1"/>
      <c r="U195" s="1"/>
      <c r="V195" s="1"/>
    </row>
    <row r="196" spans="1:28" x14ac:dyDescent="0.3">
      <c r="A196" t="s">
        <v>47</v>
      </c>
      <c r="D196">
        <v>0.48</v>
      </c>
      <c r="E196">
        <v>0.44130000000000003</v>
      </c>
      <c r="G196">
        <f t="shared" si="0"/>
        <v>-3.8699999999999957E-2</v>
      </c>
      <c r="H196">
        <f t="shared" si="1"/>
        <v>3.8699999999999957E-2</v>
      </c>
      <c r="R196" s="1"/>
      <c r="S196" s="1"/>
      <c r="T196" s="1"/>
      <c r="U196" s="1"/>
      <c r="V196" s="1"/>
    </row>
    <row r="197" spans="1:28" x14ac:dyDescent="0.3">
      <c r="A197" t="s">
        <v>47</v>
      </c>
      <c r="D197">
        <v>0.48</v>
      </c>
      <c r="E197">
        <v>0.432</v>
      </c>
      <c r="G197">
        <f t="shared" si="0"/>
        <v>-4.7999999999999987E-2</v>
      </c>
      <c r="H197">
        <f t="shared" si="1"/>
        <v>4.7999999999999987E-2</v>
      </c>
      <c r="R197" s="1"/>
      <c r="S197" s="1"/>
      <c r="T197" s="1"/>
      <c r="U197" s="1"/>
      <c r="V197" s="1"/>
    </row>
    <row r="198" spans="1:28" x14ac:dyDescent="0.3">
      <c r="A198" t="s">
        <v>47</v>
      </c>
      <c r="C198" t="s">
        <v>30</v>
      </c>
      <c r="D198">
        <v>11.97</v>
      </c>
      <c r="E198">
        <v>11.9171</v>
      </c>
      <c r="F198">
        <f>AVERAGE(E198:E201)</f>
        <v>11.86835</v>
      </c>
      <c r="G198">
        <f t="shared" si="0"/>
        <v>-5.2900000000001057E-2</v>
      </c>
      <c r="H198">
        <f t="shared" si="1"/>
        <v>5.2900000000001057E-2</v>
      </c>
      <c r="I198">
        <f>AVERAGE(G198:G201)</f>
        <v>-0.10165000000000024</v>
      </c>
      <c r="J198">
        <f>I198/D198</f>
        <v>-8.4920634920635108E-3</v>
      </c>
      <c r="K198">
        <f>AVERAGE(H198:H201)</f>
        <v>0.10165000000000024</v>
      </c>
      <c r="L198" cm="1">
        <f t="array" ref="L198">AVERAGE(H198:H201/D198:D201)</f>
        <v>8.4920634920635125E-3</v>
      </c>
      <c r="R198" s="1"/>
      <c r="S198" s="1"/>
      <c r="T198" s="1"/>
      <c r="U198" s="1"/>
      <c r="V198" s="1"/>
    </row>
    <row r="199" spans="1:28" x14ac:dyDescent="0.3">
      <c r="A199" t="s">
        <v>47</v>
      </c>
      <c r="D199">
        <v>11.97</v>
      </c>
      <c r="E199">
        <v>11.853300000000001</v>
      </c>
      <c r="G199">
        <f t="shared" si="0"/>
        <v>-0.1166999999999998</v>
      </c>
      <c r="H199">
        <f t="shared" si="1"/>
        <v>0.1166999999999998</v>
      </c>
      <c r="R199" s="1"/>
      <c r="S199" s="1"/>
      <c r="T199" s="1"/>
      <c r="U199" s="1"/>
      <c r="V199" s="1"/>
    </row>
    <row r="200" spans="1:28" x14ac:dyDescent="0.3">
      <c r="A200" t="s">
        <v>47</v>
      </c>
      <c r="D200">
        <v>11.97</v>
      </c>
      <c r="E200">
        <v>11.9137</v>
      </c>
      <c r="G200">
        <f t="shared" si="0"/>
        <v>-5.6300000000000239E-2</v>
      </c>
      <c r="H200">
        <f t="shared" si="1"/>
        <v>5.6300000000000239E-2</v>
      </c>
      <c r="R200" s="1"/>
      <c r="S200" s="1"/>
      <c r="T200" s="1"/>
      <c r="U200" s="1"/>
      <c r="V200" s="1"/>
    </row>
    <row r="201" spans="1:28" x14ac:dyDescent="0.3">
      <c r="A201" t="s">
        <v>47</v>
      </c>
      <c r="D201">
        <v>11.97</v>
      </c>
      <c r="E201">
        <v>11.789300000000001</v>
      </c>
      <c r="G201">
        <f t="shared" si="0"/>
        <v>-0.18069999999999986</v>
      </c>
      <c r="H201">
        <f t="shared" si="1"/>
        <v>0.18069999999999986</v>
      </c>
      <c r="R201" s="1"/>
      <c r="S201" s="1"/>
      <c r="T201" s="1"/>
      <c r="U201" s="1"/>
      <c r="V201" s="1"/>
    </row>
    <row r="202" spans="1:28" x14ac:dyDescent="0.3">
      <c r="A202" t="s">
        <v>47</v>
      </c>
      <c r="C202" t="s">
        <v>31</v>
      </c>
      <c r="D202">
        <v>8.5500000000000007</v>
      </c>
      <c r="E202">
        <v>8.6318999999999999</v>
      </c>
      <c r="F202">
        <f>AVERAGE(E202:E205)</f>
        <v>8.6554749999999991</v>
      </c>
      <c r="G202">
        <f t="shared" si="0"/>
        <v>8.1899999999999196E-2</v>
      </c>
      <c r="H202">
        <f t="shared" si="1"/>
        <v>8.1899999999999196E-2</v>
      </c>
      <c r="I202">
        <f>AVERAGE(G202:G205)</f>
        <v>0.10547499999999932</v>
      </c>
      <c r="J202">
        <f>I202/D202</f>
        <v>1.233625730994144E-2</v>
      </c>
      <c r="K202">
        <f>AVERAGE(H202:H205)</f>
        <v>0.10547499999999932</v>
      </c>
      <c r="L202" cm="1">
        <f t="array" ref="L202">AVERAGE(H202:H205/D202:D205)</f>
        <v>1.233625730994144E-2</v>
      </c>
      <c r="R202" s="1"/>
      <c r="S202" s="1"/>
      <c r="T202" s="1"/>
      <c r="U202" s="1"/>
      <c r="V202" s="1"/>
    </row>
    <row r="203" spans="1:28" x14ac:dyDescent="0.3">
      <c r="A203" t="s">
        <v>47</v>
      </c>
      <c r="D203">
        <v>8.5500000000000007</v>
      </c>
      <c r="E203">
        <v>8.5794999999999995</v>
      </c>
      <c r="G203">
        <f t="shared" si="0"/>
        <v>2.9499999999998749E-2</v>
      </c>
      <c r="H203">
        <f t="shared" si="1"/>
        <v>2.9499999999998749E-2</v>
      </c>
      <c r="R203" s="1"/>
      <c r="S203" s="1"/>
      <c r="T203" s="1"/>
      <c r="U203" s="1"/>
      <c r="V203" s="1"/>
    </row>
    <row r="204" spans="1:28" x14ac:dyDescent="0.3">
      <c r="A204" t="s">
        <v>47</v>
      </c>
      <c r="D204">
        <v>8.5500000000000007</v>
      </c>
      <c r="E204">
        <v>8.7317</v>
      </c>
      <c r="G204">
        <f t="shared" si="0"/>
        <v>0.18169999999999931</v>
      </c>
      <c r="H204">
        <f t="shared" si="1"/>
        <v>0.18169999999999931</v>
      </c>
      <c r="R204" s="1"/>
      <c r="S204" s="1"/>
      <c r="T204" s="1"/>
      <c r="U204" s="1"/>
      <c r="V204" s="1"/>
    </row>
    <row r="205" spans="1:28" x14ac:dyDescent="0.3">
      <c r="A205" t="s">
        <v>47</v>
      </c>
      <c r="D205">
        <v>8.5500000000000007</v>
      </c>
      <c r="E205">
        <v>8.6788000000000007</v>
      </c>
      <c r="G205">
        <f t="shared" si="0"/>
        <v>0.12880000000000003</v>
      </c>
      <c r="H205">
        <f t="shared" si="1"/>
        <v>0.12880000000000003</v>
      </c>
      <c r="R205" s="1"/>
      <c r="S205" s="1"/>
      <c r="T205" s="1"/>
      <c r="U205" s="1"/>
      <c r="V205" s="1"/>
    </row>
    <row r="206" spans="1:28" x14ac:dyDescent="0.3">
      <c r="A206" t="s">
        <v>47</v>
      </c>
      <c r="C206" t="s">
        <v>32</v>
      </c>
      <c r="D206">
        <v>0.75</v>
      </c>
      <c r="E206">
        <v>0.7409</v>
      </c>
      <c r="F206">
        <f>AVERAGE(E206:E209)</f>
        <v>0.74429999999999996</v>
      </c>
      <c r="G206">
        <f t="shared" si="0"/>
        <v>-9.099999999999997E-3</v>
      </c>
      <c r="H206">
        <f t="shared" si="1"/>
        <v>9.099999999999997E-3</v>
      </c>
      <c r="I206">
        <f>AVERAGE(G206:G209)</f>
        <v>-5.7000000000000106E-3</v>
      </c>
      <c r="J206">
        <f>I206/D206</f>
        <v>-7.6000000000000139E-3</v>
      </c>
      <c r="K206">
        <f>AVERAGE(H206:H209)</f>
        <v>2.6799999999999963E-2</v>
      </c>
      <c r="L206" cm="1">
        <f t="array" ref="L206">AVERAGE(H206:H209/D206:D209)</f>
        <v>3.5733333333333284E-2</v>
      </c>
      <c r="R206" s="1"/>
      <c r="S206" s="1"/>
      <c r="T206" s="1"/>
      <c r="U206" s="1"/>
      <c r="V206" s="1"/>
    </row>
    <row r="207" spans="1:28" x14ac:dyDescent="0.3">
      <c r="A207" t="s">
        <v>47</v>
      </c>
      <c r="D207">
        <v>0.75</v>
      </c>
      <c r="E207">
        <v>0.69410000000000005</v>
      </c>
      <c r="G207">
        <f t="shared" si="0"/>
        <v>-5.589999999999995E-2</v>
      </c>
      <c r="H207">
        <f t="shared" si="1"/>
        <v>5.589999999999995E-2</v>
      </c>
      <c r="R207" s="1"/>
      <c r="S207" s="1"/>
      <c r="T207" s="1"/>
      <c r="U207" s="1"/>
      <c r="V207" s="1"/>
    </row>
    <row r="208" spans="1:28" x14ac:dyDescent="0.3">
      <c r="A208" t="s">
        <v>47</v>
      </c>
      <c r="D208">
        <v>0.75</v>
      </c>
      <c r="E208">
        <v>0.77569999999999995</v>
      </c>
      <c r="G208">
        <f t="shared" si="0"/>
        <v>2.5699999999999945E-2</v>
      </c>
      <c r="H208">
        <f t="shared" si="1"/>
        <v>2.5699999999999945E-2</v>
      </c>
      <c r="R208" s="1"/>
      <c r="S208" s="1"/>
      <c r="T208" s="1"/>
      <c r="U208" s="1"/>
      <c r="V208" s="1"/>
    </row>
    <row r="209" spans="1:22" x14ac:dyDescent="0.3">
      <c r="A209" t="s">
        <v>47</v>
      </c>
      <c r="D209">
        <v>0.75</v>
      </c>
      <c r="E209">
        <v>0.76649999999999996</v>
      </c>
      <c r="G209">
        <f t="shared" si="0"/>
        <v>1.6499999999999959E-2</v>
      </c>
      <c r="H209">
        <f t="shared" si="1"/>
        <v>1.6499999999999959E-2</v>
      </c>
      <c r="R209" s="1"/>
      <c r="S209" s="1"/>
      <c r="T209" s="1"/>
      <c r="U209" s="1"/>
      <c r="V209" s="1"/>
    </row>
    <row r="210" spans="1:22" x14ac:dyDescent="0.3">
      <c r="A210" t="s">
        <v>47</v>
      </c>
      <c r="B210" t="s">
        <v>33</v>
      </c>
      <c r="C210" t="s">
        <v>29</v>
      </c>
      <c r="D210">
        <v>0.48</v>
      </c>
      <c r="E210">
        <v>0.56030000000000002</v>
      </c>
      <c r="F210">
        <f>AVERAGE(E210:E213)</f>
        <v>0.54072500000000001</v>
      </c>
      <c r="G210">
        <f t="shared" si="0"/>
        <v>8.0300000000000038E-2</v>
      </c>
      <c r="H210">
        <f t="shared" si="1"/>
        <v>8.0300000000000038E-2</v>
      </c>
      <c r="I210">
        <f>AVERAGE(G210:G213)</f>
        <v>6.0725000000000015E-2</v>
      </c>
      <c r="J210">
        <f>I210/D210</f>
        <v>0.12651041666666671</v>
      </c>
      <c r="K210">
        <f>AVERAGE(H210:H213)</f>
        <v>6.0725000000000015E-2</v>
      </c>
      <c r="L210" cm="1">
        <f t="array" ref="L210">AVERAGE(H210:H213/D210:D213)</f>
        <v>0.12651041666666671</v>
      </c>
      <c r="R210" s="1"/>
      <c r="S210" s="1"/>
      <c r="T210" s="1"/>
      <c r="U210" s="1"/>
      <c r="V210" s="1"/>
    </row>
    <row r="211" spans="1:22" x14ac:dyDescent="0.3">
      <c r="A211" t="s">
        <v>47</v>
      </c>
      <c r="D211">
        <v>0.48</v>
      </c>
      <c r="E211">
        <v>0.58079999999999998</v>
      </c>
      <c r="G211">
        <f t="shared" si="0"/>
        <v>0.1008</v>
      </c>
      <c r="H211">
        <f t="shared" si="1"/>
        <v>0.1008</v>
      </c>
      <c r="R211" s="1"/>
      <c r="S211" s="1"/>
      <c r="T211" s="1"/>
      <c r="U211" s="1"/>
      <c r="V211" s="1"/>
    </row>
    <row r="212" spans="1:22" x14ac:dyDescent="0.3">
      <c r="A212" t="s">
        <v>47</v>
      </c>
      <c r="D212">
        <v>0.48</v>
      </c>
      <c r="E212">
        <v>0.49359999999999998</v>
      </c>
      <c r="G212">
        <f t="shared" si="0"/>
        <v>1.3600000000000001E-2</v>
      </c>
      <c r="H212">
        <f t="shared" si="1"/>
        <v>1.3600000000000001E-2</v>
      </c>
      <c r="R212" s="1"/>
      <c r="S212" s="1"/>
      <c r="T212" s="1"/>
      <c r="U212" s="1"/>
      <c r="V212" s="1"/>
    </row>
    <row r="213" spans="1:22" x14ac:dyDescent="0.3">
      <c r="A213" t="s">
        <v>47</v>
      </c>
      <c r="D213">
        <v>0.48</v>
      </c>
      <c r="E213">
        <v>0.5282</v>
      </c>
      <c r="G213">
        <f t="shared" si="0"/>
        <v>4.8200000000000021E-2</v>
      </c>
      <c r="H213">
        <f t="shared" si="1"/>
        <v>4.8200000000000021E-2</v>
      </c>
      <c r="R213" s="1"/>
      <c r="S213" s="1"/>
      <c r="T213" s="1"/>
      <c r="U213" s="1"/>
      <c r="V213" s="1"/>
    </row>
    <row r="214" spans="1:22" x14ac:dyDescent="0.3">
      <c r="A214" t="s">
        <v>47</v>
      </c>
      <c r="C214" t="s">
        <v>30</v>
      </c>
      <c r="D214">
        <v>11.97</v>
      </c>
      <c r="E214">
        <v>11.928900000000001</v>
      </c>
      <c r="F214">
        <f>AVERAGE(E214:E217)</f>
        <v>11.957374999999999</v>
      </c>
      <c r="G214">
        <f t="shared" si="0"/>
        <v>-4.1100000000000136E-2</v>
      </c>
      <c r="H214">
        <f t="shared" si="1"/>
        <v>4.1100000000000136E-2</v>
      </c>
      <c r="I214">
        <f>AVERAGE(G214:G217)</f>
        <v>-1.2625000000000774E-2</v>
      </c>
      <c r="J214">
        <f>I214/D214</f>
        <v>-1.0547201336675667E-3</v>
      </c>
      <c r="K214">
        <f>AVERAGE(H214:H217)</f>
        <v>3.0224999999999724E-2</v>
      </c>
      <c r="L214" cm="1">
        <f t="array" ref="L214">AVERAGE(H214:H217/D214:D217)</f>
        <v>2.5250626566415807E-3</v>
      </c>
      <c r="R214" s="1"/>
      <c r="S214" s="1"/>
      <c r="T214" s="1"/>
      <c r="U214" s="1"/>
      <c r="V214" s="1"/>
    </row>
    <row r="215" spans="1:22" x14ac:dyDescent="0.3">
      <c r="A215" t="s">
        <v>47</v>
      </c>
      <c r="D215">
        <v>11.97</v>
      </c>
      <c r="E215">
        <v>11.9254</v>
      </c>
      <c r="G215">
        <f t="shared" si="0"/>
        <v>-4.4600000000000861E-2</v>
      </c>
      <c r="H215">
        <f t="shared" si="1"/>
        <v>4.4600000000000861E-2</v>
      </c>
      <c r="R215" s="1"/>
      <c r="S215" s="1"/>
      <c r="T215" s="1"/>
      <c r="U215" s="1"/>
      <c r="V215" s="1"/>
    </row>
    <row r="216" spans="1:22" x14ac:dyDescent="0.3">
      <c r="A216" t="s">
        <v>47</v>
      </c>
      <c r="D216">
        <v>11.97</v>
      </c>
      <c r="E216">
        <v>11.9834</v>
      </c>
      <c r="G216">
        <f t="shared" si="0"/>
        <v>1.3399999999998968E-2</v>
      </c>
      <c r="H216">
        <f t="shared" si="1"/>
        <v>1.3399999999998968E-2</v>
      </c>
      <c r="R216" s="1"/>
      <c r="S216" s="1"/>
      <c r="T216" s="1"/>
      <c r="U216" s="1"/>
      <c r="V216" s="1"/>
    </row>
    <row r="217" spans="1:22" x14ac:dyDescent="0.3">
      <c r="A217" t="s">
        <v>47</v>
      </c>
      <c r="D217">
        <v>11.97</v>
      </c>
      <c r="E217">
        <v>11.9918</v>
      </c>
      <c r="G217">
        <f t="shared" si="0"/>
        <v>2.1799999999998931E-2</v>
      </c>
      <c r="H217">
        <f t="shared" si="1"/>
        <v>2.1799999999998931E-2</v>
      </c>
      <c r="R217" s="1"/>
      <c r="S217" s="1"/>
      <c r="T217" s="1"/>
      <c r="U217" s="1"/>
      <c r="V217" s="1"/>
    </row>
    <row r="218" spans="1:22" x14ac:dyDescent="0.3">
      <c r="A218" t="s">
        <v>47</v>
      </c>
      <c r="C218" t="s">
        <v>31</v>
      </c>
      <c r="D218">
        <v>8.5500000000000007</v>
      </c>
      <c r="E218">
        <v>8.7837999999999994</v>
      </c>
      <c r="F218">
        <f>AVERAGE(E218:E221)</f>
        <v>8.7338249999999995</v>
      </c>
      <c r="G218">
        <f t="shared" si="0"/>
        <v>0.23379999999999868</v>
      </c>
      <c r="H218">
        <f t="shared" si="1"/>
        <v>0.23379999999999868</v>
      </c>
      <c r="I218">
        <f>AVERAGE(G218:G221)</f>
        <v>0.18382499999999924</v>
      </c>
      <c r="J218">
        <f>I218/D218</f>
        <v>2.1499999999999908E-2</v>
      </c>
      <c r="K218">
        <f>AVERAGE(H218:H221)</f>
        <v>0.18382499999999924</v>
      </c>
      <c r="L218" cm="1">
        <f t="array" ref="L218">AVERAGE(H218:H221/D218:D221)</f>
        <v>2.1499999999999908E-2</v>
      </c>
      <c r="R218" s="1"/>
      <c r="S218" s="1"/>
      <c r="T218" s="1"/>
      <c r="U218" s="1"/>
      <c r="V218" s="1"/>
    </row>
    <row r="219" spans="1:22" x14ac:dyDescent="0.3">
      <c r="A219" t="s">
        <v>47</v>
      </c>
      <c r="D219">
        <v>8.5500000000000007</v>
      </c>
      <c r="E219">
        <v>8.8085000000000004</v>
      </c>
      <c r="G219">
        <f t="shared" si="0"/>
        <v>0.25849999999999973</v>
      </c>
      <c r="H219">
        <f t="shared" si="1"/>
        <v>0.25849999999999973</v>
      </c>
      <c r="R219" s="1"/>
      <c r="S219" s="1"/>
      <c r="T219" s="1"/>
      <c r="U219" s="1"/>
      <c r="V219" s="1"/>
    </row>
    <row r="220" spans="1:22" x14ac:dyDescent="0.3">
      <c r="A220" t="s">
        <v>47</v>
      </c>
      <c r="D220">
        <v>8.5500000000000007</v>
      </c>
      <c r="E220">
        <v>8.6887000000000008</v>
      </c>
      <c r="G220">
        <f t="shared" si="0"/>
        <v>0.13870000000000005</v>
      </c>
      <c r="H220">
        <f t="shared" si="1"/>
        <v>0.13870000000000005</v>
      </c>
      <c r="R220" s="1"/>
      <c r="S220" s="1"/>
      <c r="T220" s="1"/>
      <c r="U220" s="1"/>
      <c r="V220" s="1"/>
    </row>
    <row r="221" spans="1:22" x14ac:dyDescent="0.3">
      <c r="A221" t="s">
        <v>47</v>
      </c>
      <c r="D221">
        <v>8.5500000000000007</v>
      </c>
      <c r="E221">
        <v>8.6542999999999992</v>
      </c>
      <c r="G221">
        <f t="shared" si="0"/>
        <v>0.10429999999999851</v>
      </c>
      <c r="H221">
        <f t="shared" si="1"/>
        <v>0.10429999999999851</v>
      </c>
      <c r="R221" s="1"/>
      <c r="S221" s="1"/>
      <c r="T221" s="1"/>
      <c r="U221" s="1"/>
      <c r="V221" s="1"/>
    </row>
    <row r="222" spans="1:22" x14ac:dyDescent="0.3">
      <c r="A222" t="s">
        <v>47</v>
      </c>
      <c r="C222" t="s">
        <v>32</v>
      </c>
      <c r="D222">
        <v>0.75</v>
      </c>
      <c r="E222">
        <v>0.75029999999999997</v>
      </c>
      <c r="F222">
        <f>AVERAGE(E222:E225)</f>
        <v>0.77332500000000004</v>
      </c>
      <c r="G222">
        <f t="shared" si="0"/>
        <v>2.9999999999996696E-4</v>
      </c>
      <c r="H222">
        <f t="shared" si="1"/>
        <v>2.9999999999996696E-4</v>
      </c>
      <c r="I222">
        <f>AVERAGE(G222:G225)</f>
        <v>2.3324999999999985E-2</v>
      </c>
      <c r="J222">
        <f>I222/D222</f>
        <v>3.1099999999999978E-2</v>
      </c>
      <c r="K222">
        <f>AVERAGE(H222:H225)</f>
        <v>2.3324999999999985E-2</v>
      </c>
      <c r="L222" cm="1">
        <f t="array" ref="L222">AVERAGE(H222:H225/D222:D225)</f>
        <v>3.1099999999999978E-2</v>
      </c>
      <c r="R222" s="1"/>
      <c r="S222" s="1"/>
      <c r="T222" s="1"/>
      <c r="U222" s="1"/>
      <c r="V222" s="1"/>
    </row>
    <row r="223" spans="1:22" x14ac:dyDescent="0.3">
      <c r="A223" t="s">
        <v>47</v>
      </c>
      <c r="D223">
        <v>0.75</v>
      </c>
      <c r="E223">
        <v>0.76319999999999999</v>
      </c>
      <c r="G223">
        <f t="shared" si="0"/>
        <v>1.319999999999999E-2</v>
      </c>
      <c r="H223">
        <f t="shared" si="1"/>
        <v>1.319999999999999E-2</v>
      </c>
      <c r="R223" s="1"/>
      <c r="S223" s="1"/>
      <c r="T223" s="1"/>
      <c r="U223" s="1"/>
      <c r="V223" s="1"/>
    </row>
    <row r="224" spans="1:22" x14ac:dyDescent="0.3">
      <c r="A224" t="s">
        <v>47</v>
      </c>
      <c r="D224">
        <v>0.75</v>
      </c>
      <c r="E224">
        <v>0.7792</v>
      </c>
      <c r="G224">
        <f t="shared" si="0"/>
        <v>2.9200000000000004E-2</v>
      </c>
      <c r="H224">
        <f t="shared" si="1"/>
        <v>2.9200000000000004E-2</v>
      </c>
      <c r="R224" s="1"/>
      <c r="S224" s="1"/>
      <c r="T224" s="1"/>
      <c r="U224" s="1"/>
      <c r="V224" s="1"/>
    </row>
    <row r="225" spans="1:22" x14ac:dyDescent="0.3">
      <c r="A225" t="s">
        <v>47</v>
      </c>
      <c r="D225">
        <v>0.75</v>
      </c>
      <c r="E225">
        <v>0.80059999999999998</v>
      </c>
      <c r="G225">
        <f t="shared" si="0"/>
        <v>5.0599999999999978E-2</v>
      </c>
      <c r="H225">
        <f t="shared" si="1"/>
        <v>5.0599999999999978E-2</v>
      </c>
      <c r="R225" s="1"/>
      <c r="S225" s="1"/>
      <c r="T225" s="1"/>
      <c r="U225" s="1"/>
      <c r="V225" s="1"/>
    </row>
    <row r="226" spans="1:22" x14ac:dyDescent="0.3">
      <c r="A226" t="s">
        <v>47</v>
      </c>
      <c r="B226" t="s">
        <v>35</v>
      </c>
      <c r="C226" t="s">
        <v>48</v>
      </c>
      <c r="D226">
        <v>3.1</v>
      </c>
      <c r="E226">
        <v>3.2481</v>
      </c>
      <c r="F226">
        <f>AVERAGE(E226:E229)</f>
        <v>3.2131499999999997</v>
      </c>
      <c r="G226">
        <f t="shared" ref="G226:G257" si="2">E226-D226</f>
        <v>0.1480999999999999</v>
      </c>
      <c r="H226">
        <f t="shared" si="1"/>
        <v>0.1480999999999999</v>
      </c>
      <c r="I226">
        <f>AVERAGE(G226:G229)</f>
        <v>0.11314999999999986</v>
      </c>
      <c r="J226">
        <f>I226/D226</f>
        <v>3.6499999999999956E-2</v>
      </c>
      <c r="K226">
        <f>AVERAGE(H226:H229)</f>
        <v>0.11314999999999986</v>
      </c>
      <c r="L226" cm="1">
        <f t="array" ref="L226">AVERAGE(H226:H229/D226:D229)</f>
        <v>3.6499999999999956E-2</v>
      </c>
      <c r="R226" s="1"/>
      <c r="S226" s="1"/>
      <c r="T226" s="1"/>
      <c r="U226" s="1"/>
      <c r="V226" s="1"/>
    </row>
    <row r="227" spans="1:22" x14ac:dyDescent="0.3">
      <c r="A227" t="s">
        <v>47</v>
      </c>
      <c r="D227">
        <v>3.1</v>
      </c>
      <c r="E227">
        <v>3.2069999999999999</v>
      </c>
      <c r="G227">
        <f t="shared" si="2"/>
        <v>0.10699999999999976</v>
      </c>
      <c r="H227">
        <f t="shared" si="1"/>
        <v>0.10699999999999976</v>
      </c>
      <c r="R227" s="1"/>
      <c r="S227" s="1"/>
      <c r="T227" s="1"/>
      <c r="U227" s="1"/>
      <c r="V227" s="1"/>
    </row>
    <row r="228" spans="1:22" x14ac:dyDescent="0.3">
      <c r="A228" t="s">
        <v>47</v>
      </c>
      <c r="D228">
        <v>3.1</v>
      </c>
      <c r="E228">
        <v>3.2252000000000001</v>
      </c>
      <c r="G228">
        <f t="shared" si="2"/>
        <v>0.12519999999999998</v>
      </c>
      <c r="H228">
        <f t="shared" si="1"/>
        <v>0.12519999999999998</v>
      </c>
      <c r="R228" s="1"/>
      <c r="S228" s="1"/>
      <c r="T228" s="1"/>
      <c r="U228" s="1"/>
      <c r="V228" s="1"/>
    </row>
    <row r="229" spans="1:22" x14ac:dyDescent="0.3">
      <c r="A229" t="s">
        <v>47</v>
      </c>
      <c r="D229">
        <v>3.1</v>
      </c>
      <c r="E229">
        <v>3.1722999999999999</v>
      </c>
      <c r="G229">
        <f t="shared" si="2"/>
        <v>7.2299999999999809E-2</v>
      </c>
      <c r="H229">
        <f t="shared" si="1"/>
        <v>7.2299999999999809E-2</v>
      </c>
      <c r="R229" s="1"/>
      <c r="S229" s="1"/>
      <c r="T229" s="1"/>
      <c r="U229" s="1"/>
      <c r="V229" s="1"/>
    </row>
    <row r="230" spans="1:22" x14ac:dyDescent="0.3">
      <c r="A230" t="s">
        <v>47</v>
      </c>
      <c r="C230" t="s">
        <v>37</v>
      </c>
      <c r="D230">
        <v>15.16</v>
      </c>
      <c r="E230">
        <v>15.101100000000001</v>
      </c>
      <c r="F230">
        <f>AVERAGE(E230:E233)</f>
        <v>15.033349999999999</v>
      </c>
      <c r="G230">
        <f t="shared" si="2"/>
        <v>-5.8899999999999508E-2</v>
      </c>
      <c r="H230">
        <f t="shared" si="1"/>
        <v>5.8899999999999508E-2</v>
      </c>
      <c r="I230">
        <f>AVERAGE(G230:G233)</f>
        <v>-0.12665000000000015</v>
      </c>
      <c r="J230">
        <f>I230/D230</f>
        <v>-8.3542216358839152E-3</v>
      </c>
      <c r="K230">
        <f>AVERAGE(H230:H233)</f>
        <v>0.12970000000000015</v>
      </c>
      <c r="L230" cm="1">
        <f t="array" ref="L230">AVERAGE(H230:H233/D230:D233)</f>
        <v>8.5554089709762617E-3</v>
      </c>
      <c r="R230" s="1"/>
      <c r="S230" s="1"/>
      <c r="T230" s="1"/>
      <c r="U230" s="1"/>
      <c r="V230" s="1"/>
    </row>
    <row r="231" spans="1:22" x14ac:dyDescent="0.3">
      <c r="A231" t="s">
        <v>47</v>
      </c>
      <c r="D231">
        <v>15.16</v>
      </c>
      <c r="E231">
        <v>15.1661</v>
      </c>
      <c r="G231">
        <f t="shared" si="2"/>
        <v>6.0999999999999943E-3</v>
      </c>
      <c r="H231">
        <f t="shared" si="1"/>
        <v>6.0999999999999943E-3</v>
      </c>
      <c r="R231" s="1"/>
      <c r="S231" s="1"/>
      <c r="T231" s="1"/>
      <c r="U231" s="1"/>
      <c r="V231" s="1"/>
    </row>
    <row r="232" spans="1:22" x14ac:dyDescent="0.3">
      <c r="A232" t="s">
        <v>47</v>
      </c>
      <c r="D232">
        <v>15.16</v>
      </c>
      <c r="E232">
        <v>14.921099999999999</v>
      </c>
      <c r="G232">
        <f t="shared" si="2"/>
        <v>-0.238900000000001</v>
      </c>
      <c r="H232">
        <f t="shared" si="1"/>
        <v>0.238900000000001</v>
      </c>
      <c r="R232" s="1"/>
      <c r="S232" s="1"/>
      <c r="T232" s="1"/>
      <c r="U232" s="1"/>
      <c r="V232" s="1"/>
    </row>
    <row r="233" spans="1:22" x14ac:dyDescent="0.3">
      <c r="A233" t="s">
        <v>47</v>
      </c>
      <c r="D233">
        <v>15.16</v>
      </c>
      <c r="E233">
        <v>14.9451</v>
      </c>
      <c r="G233">
        <f t="shared" si="2"/>
        <v>-0.21490000000000009</v>
      </c>
      <c r="H233">
        <f t="shared" si="1"/>
        <v>0.21490000000000009</v>
      </c>
      <c r="R233" s="1"/>
      <c r="S233" s="1"/>
      <c r="T233" s="1"/>
      <c r="U233" s="1"/>
      <c r="V233" s="1"/>
    </row>
    <row r="234" spans="1:22" x14ac:dyDescent="0.3">
      <c r="A234" t="s">
        <v>47</v>
      </c>
      <c r="C234" t="s">
        <v>38</v>
      </c>
      <c r="D234">
        <v>1.68</v>
      </c>
      <c r="E234">
        <v>1.7009000000000001</v>
      </c>
      <c r="F234">
        <f>AVERAGE(E234:E237)</f>
        <v>1.6834750000000001</v>
      </c>
      <c r="G234">
        <f t="shared" si="2"/>
        <v>2.0900000000000141E-2</v>
      </c>
      <c r="H234">
        <f t="shared" si="1"/>
        <v>2.0900000000000141E-2</v>
      </c>
      <c r="I234">
        <f>AVERAGE(G234:G237)</f>
        <v>3.4750000000001169E-3</v>
      </c>
      <c r="J234">
        <f>I234/D234</f>
        <v>2.0684523809524507E-3</v>
      </c>
      <c r="K234">
        <f>AVERAGE(H234:H237)</f>
        <v>1.232500000000003E-2</v>
      </c>
      <c r="L234" cm="1">
        <f t="array" ref="L234">AVERAGE(H234:H237/D234:D237)</f>
        <v>7.3363095238095418E-3</v>
      </c>
      <c r="R234" s="1"/>
      <c r="S234" s="1"/>
      <c r="T234" s="1"/>
      <c r="U234" s="1"/>
      <c r="V234" s="1"/>
    </row>
    <row r="235" spans="1:22" x14ac:dyDescent="0.3">
      <c r="A235" t="s">
        <v>47</v>
      </c>
      <c r="D235">
        <v>1.68</v>
      </c>
      <c r="E235">
        <v>1.6754</v>
      </c>
      <c r="G235">
        <f t="shared" si="2"/>
        <v>-4.5999999999999375E-3</v>
      </c>
      <c r="H235">
        <f t="shared" si="1"/>
        <v>4.5999999999999375E-3</v>
      </c>
      <c r="R235" s="1"/>
      <c r="S235" s="1"/>
      <c r="T235" s="1"/>
      <c r="U235" s="1"/>
      <c r="V235" s="1"/>
    </row>
    <row r="236" spans="1:22" x14ac:dyDescent="0.3">
      <c r="A236" t="s">
        <v>47</v>
      </c>
      <c r="D236">
        <v>1.68</v>
      </c>
      <c r="E236">
        <v>1.6907000000000001</v>
      </c>
      <c r="G236">
        <f t="shared" si="2"/>
        <v>1.0700000000000154E-2</v>
      </c>
      <c r="H236">
        <f t="shared" si="1"/>
        <v>1.0700000000000154E-2</v>
      </c>
      <c r="R236" s="1"/>
      <c r="S236" s="1"/>
      <c r="T236" s="1"/>
      <c r="U236" s="1"/>
      <c r="V236" s="1"/>
    </row>
    <row r="237" spans="1:22" x14ac:dyDescent="0.3">
      <c r="A237" t="s">
        <v>47</v>
      </c>
      <c r="D237">
        <v>1.68</v>
      </c>
      <c r="E237">
        <v>1.6669</v>
      </c>
      <c r="G237">
        <f t="shared" si="2"/>
        <v>-1.309999999999989E-2</v>
      </c>
      <c r="H237">
        <f t="shared" si="1"/>
        <v>1.309999999999989E-2</v>
      </c>
      <c r="R237" s="1"/>
      <c r="S237" s="1"/>
      <c r="T237" s="1"/>
      <c r="U237" s="1"/>
      <c r="V237" s="1"/>
    </row>
    <row r="238" spans="1:22" x14ac:dyDescent="0.3">
      <c r="A238" t="s">
        <v>47</v>
      </c>
      <c r="C238" t="s">
        <v>39</v>
      </c>
      <c r="D238">
        <v>10.119999999999999</v>
      </c>
      <c r="E238">
        <v>10.0815</v>
      </c>
      <c r="F238">
        <f>AVERAGE(E238:E241)</f>
        <v>10.153500000000001</v>
      </c>
      <c r="G238">
        <f t="shared" si="2"/>
        <v>-3.8499999999999091E-2</v>
      </c>
      <c r="H238">
        <f t="shared" si="1"/>
        <v>3.8499999999999091E-2</v>
      </c>
      <c r="I238">
        <f>AVERAGE(G238:G241)</f>
        <v>3.3500000000000973E-2</v>
      </c>
      <c r="J238">
        <f>I238/D238</f>
        <v>3.3102766798419935E-3</v>
      </c>
      <c r="K238">
        <f>AVERAGE(H238:H241)</f>
        <v>5.2750000000000519E-2</v>
      </c>
      <c r="L238" cm="1">
        <f t="array" ref="L238">AVERAGE(H238:H241/D238:D241)</f>
        <v>5.2124505928854269E-3</v>
      </c>
      <c r="R238" s="1"/>
      <c r="S238" s="1"/>
      <c r="T238" s="1"/>
      <c r="U238" s="1"/>
      <c r="V238" s="1"/>
    </row>
    <row r="239" spans="1:22" x14ac:dyDescent="0.3">
      <c r="A239" t="s">
        <v>47</v>
      </c>
      <c r="D239">
        <v>10.119999999999999</v>
      </c>
      <c r="E239">
        <v>10.1533</v>
      </c>
      <c r="G239">
        <f t="shared" si="2"/>
        <v>3.3300000000000551E-2</v>
      </c>
      <c r="H239">
        <f t="shared" si="1"/>
        <v>3.3300000000000551E-2</v>
      </c>
      <c r="R239" s="1"/>
      <c r="S239" s="1"/>
      <c r="T239" s="1"/>
      <c r="U239" s="1"/>
      <c r="V239" s="1"/>
    </row>
    <row r="240" spans="1:22" x14ac:dyDescent="0.3">
      <c r="A240" t="s">
        <v>47</v>
      </c>
      <c r="D240">
        <v>10.119999999999999</v>
      </c>
      <c r="E240">
        <v>10.1691</v>
      </c>
      <c r="G240">
        <f t="shared" si="2"/>
        <v>4.9100000000001032E-2</v>
      </c>
      <c r="H240">
        <f t="shared" si="1"/>
        <v>4.9100000000001032E-2</v>
      </c>
      <c r="R240" s="1"/>
      <c r="S240" s="1"/>
      <c r="T240" s="1"/>
      <c r="U240" s="1"/>
      <c r="V240" s="1"/>
    </row>
    <row r="241" spans="1:25" x14ac:dyDescent="0.3">
      <c r="A241" t="s">
        <v>47</v>
      </c>
      <c r="D241">
        <v>10.119999999999999</v>
      </c>
      <c r="E241">
        <v>10.210100000000001</v>
      </c>
      <c r="G241">
        <f t="shared" si="2"/>
        <v>9.0100000000001401E-2</v>
      </c>
      <c r="H241">
        <f t="shared" si="1"/>
        <v>9.0100000000001401E-2</v>
      </c>
      <c r="R241" s="1"/>
      <c r="S241" s="1"/>
      <c r="T241" s="1"/>
      <c r="U241" s="1"/>
      <c r="V241" s="1"/>
    </row>
    <row r="242" spans="1:25" s="7" customFormat="1" x14ac:dyDescent="0.3">
      <c r="A242" s="7" t="s">
        <v>47</v>
      </c>
      <c r="B242" s="7" t="s">
        <v>40</v>
      </c>
      <c r="C242" s="7" t="s">
        <v>41</v>
      </c>
      <c r="D242" s="7">
        <v>2.5</v>
      </c>
      <c r="E242" s="7">
        <v>2.4489999999999998</v>
      </c>
      <c r="F242" s="3">
        <f>AVERAGE(E242:E245)</f>
        <v>2.4455249999999999</v>
      </c>
      <c r="G242" s="7">
        <f t="shared" si="2"/>
        <v>-5.1000000000000156E-2</v>
      </c>
      <c r="H242" s="7">
        <f t="shared" si="1"/>
        <v>5.1000000000000156E-2</v>
      </c>
      <c r="I242" s="7">
        <f>AVERAGE(G242:G245)</f>
        <v>-5.4475000000000051E-2</v>
      </c>
      <c r="J242" s="7">
        <f>I242/D242</f>
        <v>-2.1790000000000021E-2</v>
      </c>
      <c r="K242" s="7">
        <f>AVERAGE(H242:H245)</f>
        <v>5.4475000000000051E-2</v>
      </c>
      <c r="L242" s="7" cm="1">
        <f t="array" ref="L242">AVERAGE(H242:H245/D242:D245)</f>
        <v>2.1790000000000025E-2</v>
      </c>
      <c r="M242" s="7">
        <f>AVERAGE(G242:G257)</f>
        <v>-2.081249999999972E-3</v>
      </c>
      <c r="N242" s="7">
        <f>AVERAGE(H242:H257)</f>
        <v>3.5618750000000053E-2</v>
      </c>
      <c r="O242" s="7" cm="1">
        <f t="array" ref="O242">AVERAGE(G242:G257/D242:D257)</f>
        <v>-4.5992624809370686E-4</v>
      </c>
      <c r="P242" s="7" cm="1">
        <f t="array" ref="P242">AVERAGE(H242:H257/D242:D257)</f>
        <v>2.0993089239178735E-2</v>
      </c>
      <c r="Q242" s="7">
        <f>_xlfn.STDEV.S(G242:G257)</f>
        <v>4.4917334719831045E-2</v>
      </c>
      <c r="W242" s="7" cm="1">
        <f t="array" ref="W242">AVERAGE(G242:G257^2)</f>
        <v>1.8958006250000057E-3</v>
      </c>
      <c r="X242" s="7">
        <f>SQRT(W242)</f>
        <v>4.3540792654704917E-2</v>
      </c>
      <c r="Y242" s="7" cm="1">
        <f t="array" ref="Y242">SQRT(AVERAGE((G242:G257/D242:D257)^2))</f>
        <v>2.382765002498995E-2</v>
      </c>
    </row>
    <row r="243" spans="1:25" x14ac:dyDescent="0.3">
      <c r="A243" t="s">
        <v>47</v>
      </c>
      <c r="D243">
        <v>2.5</v>
      </c>
      <c r="E243">
        <v>2.4365000000000001</v>
      </c>
      <c r="G243">
        <f t="shared" si="2"/>
        <v>-6.349999999999989E-2</v>
      </c>
      <c r="H243">
        <f t="shared" si="1"/>
        <v>6.349999999999989E-2</v>
      </c>
      <c r="R243" s="1"/>
      <c r="S243" s="1"/>
      <c r="T243" s="1"/>
      <c r="U243" s="1"/>
      <c r="V243" s="1"/>
    </row>
    <row r="244" spans="1:25" x14ac:dyDescent="0.3">
      <c r="A244" t="s">
        <v>47</v>
      </c>
      <c r="D244">
        <v>2.5</v>
      </c>
      <c r="E244">
        <v>2.4394999999999998</v>
      </c>
      <c r="G244">
        <f t="shared" si="2"/>
        <v>-6.050000000000022E-2</v>
      </c>
      <c r="H244">
        <f t="shared" si="1"/>
        <v>6.050000000000022E-2</v>
      </c>
      <c r="R244" s="1"/>
      <c r="S244" s="1"/>
      <c r="T244" s="1"/>
      <c r="U244" s="1"/>
      <c r="V244" s="1"/>
    </row>
    <row r="245" spans="1:25" x14ac:dyDescent="0.3">
      <c r="A245" t="s">
        <v>47</v>
      </c>
      <c r="D245">
        <v>2.5</v>
      </c>
      <c r="E245">
        <v>2.4571000000000001</v>
      </c>
      <c r="G245">
        <f t="shared" si="2"/>
        <v>-4.2899999999999938E-2</v>
      </c>
      <c r="H245">
        <f t="shared" si="1"/>
        <v>4.2899999999999938E-2</v>
      </c>
      <c r="R245" s="1"/>
      <c r="S245" s="1"/>
      <c r="T245" s="1"/>
      <c r="U245" s="1"/>
      <c r="V245" s="1"/>
    </row>
    <row r="246" spans="1:25" x14ac:dyDescent="0.3">
      <c r="A246" t="s">
        <v>47</v>
      </c>
      <c r="C246" t="s">
        <v>42</v>
      </c>
      <c r="D246">
        <v>1.99</v>
      </c>
      <c r="E246">
        <v>1.9907999999999999</v>
      </c>
      <c r="F246">
        <f>AVERAGE(E246:E249)</f>
        <v>2.009725</v>
      </c>
      <c r="G246">
        <f t="shared" si="2"/>
        <v>7.9999999999991189E-4</v>
      </c>
      <c r="H246">
        <f t="shared" si="1"/>
        <v>7.9999999999991189E-4</v>
      </c>
      <c r="I246">
        <f>AVERAGE(G246:G249)</f>
        <v>1.9725000000000048E-2</v>
      </c>
      <c r="J246">
        <f>I246/D246</f>
        <v>9.9120603015075623E-3</v>
      </c>
      <c r="K246">
        <f>AVERAGE(H246:H249)</f>
        <v>4.2925000000000046E-2</v>
      </c>
      <c r="L246" cm="1">
        <f t="array" ref="L246">AVERAGE(H246:H249/D246:D249)</f>
        <v>2.1570351758793994E-2</v>
      </c>
      <c r="R246" s="1"/>
      <c r="S246" s="1"/>
      <c r="T246" s="1"/>
      <c r="U246" s="1"/>
      <c r="V246" s="1"/>
    </row>
    <row r="247" spans="1:25" x14ac:dyDescent="0.3">
      <c r="A247" t="s">
        <v>47</v>
      </c>
      <c r="D247">
        <v>1.99</v>
      </c>
      <c r="E247">
        <v>1.9436</v>
      </c>
      <c r="G247">
        <f t="shared" si="2"/>
        <v>-4.6399999999999997E-2</v>
      </c>
      <c r="H247">
        <f t="shared" si="1"/>
        <v>4.6399999999999997E-2</v>
      </c>
      <c r="R247" s="1"/>
      <c r="S247" s="1"/>
      <c r="T247" s="1"/>
      <c r="U247" s="1"/>
      <c r="V247" s="1"/>
    </row>
    <row r="248" spans="1:25" x14ac:dyDescent="0.3">
      <c r="A248" t="s">
        <v>47</v>
      </c>
      <c r="D248">
        <v>1.99</v>
      </c>
      <c r="E248">
        <v>2.0169000000000001</v>
      </c>
      <c r="G248">
        <f t="shared" si="2"/>
        <v>2.6900000000000146E-2</v>
      </c>
      <c r="H248">
        <f t="shared" si="1"/>
        <v>2.6900000000000146E-2</v>
      </c>
      <c r="R248" s="1"/>
      <c r="S248" s="1"/>
      <c r="T248" s="1"/>
      <c r="U248" s="1"/>
      <c r="V248" s="1"/>
    </row>
    <row r="249" spans="1:25" x14ac:dyDescent="0.3">
      <c r="A249" t="s">
        <v>47</v>
      </c>
      <c r="D249">
        <v>1.99</v>
      </c>
      <c r="E249">
        <v>2.0876000000000001</v>
      </c>
      <c r="G249">
        <f t="shared" si="2"/>
        <v>9.7600000000000131E-2</v>
      </c>
      <c r="H249">
        <f t="shared" si="1"/>
        <v>9.7600000000000131E-2</v>
      </c>
      <c r="R249" s="1"/>
      <c r="S249" s="1"/>
      <c r="T249" s="1"/>
      <c r="U249" s="1"/>
      <c r="V249" s="1"/>
    </row>
    <row r="250" spans="1:25" x14ac:dyDescent="0.3">
      <c r="A250" t="s">
        <v>47</v>
      </c>
      <c r="C250" t="s">
        <v>43</v>
      </c>
      <c r="D250">
        <v>1.64</v>
      </c>
      <c r="E250">
        <v>1.6632</v>
      </c>
      <c r="F250">
        <f>AVERAGE(E250:E253)</f>
        <v>1.6723250000000001</v>
      </c>
      <c r="G250">
        <f t="shared" si="2"/>
        <v>2.3200000000000109E-2</v>
      </c>
      <c r="H250">
        <f t="shared" si="1"/>
        <v>2.3200000000000109E-2</v>
      </c>
      <c r="I250">
        <f>AVERAGE(G250:G253)</f>
        <v>3.2325000000000104E-2</v>
      </c>
      <c r="J250">
        <f>I250/D250</f>
        <v>1.9710365853658603E-2</v>
      </c>
      <c r="K250">
        <f>AVERAGE(H250:H253)</f>
        <v>3.2325000000000104E-2</v>
      </c>
      <c r="L250" cm="1">
        <f t="array" ref="L250">AVERAGE(H250:H253/D250:D253)</f>
        <v>1.9710365853658603E-2</v>
      </c>
      <c r="R250" s="1"/>
      <c r="S250" s="1"/>
      <c r="T250" s="1"/>
      <c r="U250" s="1"/>
      <c r="V250" s="1"/>
    </row>
    <row r="251" spans="1:25" x14ac:dyDescent="0.3">
      <c r="A251" t="s">
        <v>47</v>
      </c>
      <c r="D251">
        <v>1.64</v>
      </c>
      <c r="E251">
        <v>1.6557999999999999</v>
      </c>
      <c r="G251">
        <f t="shared" si="2"/>
        <v>1.5800000000000036E-2</v>
      </c>
      <c r="H251">
        <f t="shared" si="1"/>
        <v>1.5800000000000036E-2</v>
      </c>
      <c r="R251" s="1"/>
      <c r="S251" s="1"/>
      <c r="T251" s="1"/>
      <c r="U251" s="1"/>
      <c r="V251" s="1"/>
    </row>
    <row r="252" spans="1:25" x14ac:dyDescent="0.3">
      <c r="A252" t="s">
        <v>47</v>
      </c>
      <c r="D252">
        <v>1.64</v>
      </c>
      <c r="E252">
        <v>1.6771</v>
      </c>
      <c r="G252">
        <f t="shared" si="2"/>
        <v>3.7100000000000133E-2</v>
      </c>
      <c r="H252">
        <f t="shared" si="1"/>
        <v>3.7100000000000133E-2</v>
      </c>
      <c r="R252" s="1"/>
      <c r="S252" s="1"/>
      <c r="T252" s="1"/>
      <c r="U252" s="1"/>
      <c r="V252" s="1"/>
    </row>
    <row r="253" spans="1:25" x14ac:dyDescent="0.3">
      <c r="A253" t="s">
        <v>47</v>
      </c>
      <c r="D253">
        <v>1.64</v>
      </c>
      <c r="E253">
        <v>1.6932</v>
      </c>
      <c r="G253">
        <f t="shared" si="2"/>
        <v>5.3200000000000136E-2</v>
      </c>
      <c r="H253">
        <f t="shared" si="1"/>
        <v>5.3200000000000136E-2</v>
      </c>
      <c r="R253" s="1"/>
      <c r="S253" s="1"/>
      <c r="T253" s="1"/>
      <c r="U253" s="1"/>
      <c r="V253" s="1"/>
    </row>
    <row r="254" spans="1:25" x14ac:dyDescent="0.3">
      <c r="A254" t="s">
        <v>47</v>
      </c>
      <c r="C254" t="s">
        <v>44</v>
      </c>
      <c r="D254">
        <v>0.61</v>
      </c>
      <c r="E254">
        <v>0.62370000000000003</v>
      </c>
      <c r="F254">
        <f>AVERAGE(E254:E257)</f>
        <v>0.60409999999999997</v>
      </c>
      <c r="G254">
        <f t="shared" si="2"/>
        <v>1.3700000000000045E-2</v>
      </c>
      <c r="H254">
        <f t="shared" si="1"/>
        <v>1.3700000000000045E-2</v>
      </c>
      <c r="I254">
        <f>AVERAGE(G254:G257)</f>
        <v>-5.8999999999999886E-3</v>
      </c>
      <c r="J254">
        <f>I254/D254</f>
        <v>-9.6721311475409643E-3</v>
      </c>
      <c r="K254">
        <f>AVERAGE(H254:H257)</f>
        <v>1.2750000000000011E-2</v>
      </c>
      <c r="L254" cm="1">
        <f t="array" ref="L254">AVERAGE(H254:H257/D254:D257)</f>
        <v>2.0901639344262313E-2</v>
      </c>
      <c r="R254" s="1"/>
      <c r="S254" s="1"/>
      <c r="T254" s="1"/>
      <c r="U254" s="1"/>
      <c r="V254" s="1"/>
    </row>
    <row r="255" spans="1:25" x14ac:dyDescent="0.3">
      <c r="A255" t="s">
        <v>47</v>
      </c>
      <c r="D255">
        <v>0.61</v>
      </c>
      <c r="E255">
        <v>0.60389999999999999</v>
      </c>
      <c r="G255">
        <f t="shared" si="2"/>
        <v>-6.0999999999999943E-3</v>
      </c>
      <c r="H255">
        <f t="shared" si="1"/>
        <v>6.0999999999999943E-3</v>
      </c>
      <c r="R255" s="1"/>
      <c r="S255" s="1"/>
      <c r="T255" s="1"/>
      <c r="U255" s="1"/>
      <c r="V255" s="1"/>
    </row>
    <row r="256" spans="1:25" x14ac:dyDescent="0.3">
      <c r="A256" t="s">
        <v>47</v>
      </c>
      <c r="D256">
        <v>0.61</v>
      </c>
      <c r="E256">
        <v>0.60109999999999997</v>
      </c>
      <c r="G256">
        <f t="shared" si="2"/>
        <v>-8.900000000000019E-3</v>
      </c>
      <c r="H256">
        <f t="shared" si="1"/>
        <v>8.900000000000019E-3</v>
      </c>
      <c r="R256" s="1"/>
      <c r="S256" s="1"/>
      <c r="T256" s="1"/>
      <c r="U256" s="1"/>
      <c r="V256" s="1"/>
    </row>
    <row r="257" spans="1:22" x14ac:dyDescent="0.3">
      <c r="A257" t="s">
        <v>47</v>
      </c>
      <c r="D257">
        <v>0.61</v>
      </c>
      <c r="E257">
        <v>0.5877</v>
      </c>
      <c r="G257">
        <f t="shared" si="2"/>
        <v>-2.2299999999999986E-2</v>
      </c>
      <c r="H257">
        <f t="shared" si="1"/>
        <v>2.2299999999999986E-2</v>
      </c>
      <c r="R257" s="1"/>
      <c r="S257" s="1"/>
      <c r="T257" s="1"/>
      <c r="U257" s="1"/>
      <c r="V25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250B9-4922-4D28-9E15-A4F5040D26F7}">
  <dimension ref="A1:AI68"/>
  <sheetViews>
    <sheetView workbookViewId="0">
      <selection activeCell="I26" sqref="I26"/>
    </sheetView>
  </sheetViews>
  <sheetFormatPr defaultRowHeight="14.4" x14ac:dyDescent="0.3"/>
  <cols>
    <col min="1" max="1" width="16.44140625" bestFit="1" customWidth="1"/>
    <col min="2" max="2" width="6.5546875" bestFit="1" customWidth="1"/>
    <col min="3" max="3" width="12" bestFit="1" customWidth="1"/>
    <col min="4" max="4" width="28.109375" bestFit="1" customWidth="1"/>
    <col min="5" max="5" width="20.5546875" bestFit="1" customWidth="1"/>
    <col min="6" max="7" width="10" bestFit="1" customWidth="1"/>
    <col min="8" max="9" width="12" bestFit="1" customWidth="1"/>
    <col min="10" max="10" width="12.6640625" bestFit="1" customWidth="1"/>
    <col min="11" max="11" width="12.5546875" bestFit="1" customWidth="1"/>
    <col min="12" max="12" width="12" bestFit="1" customWidth="1"/>
    <col min="13" max="13" width="12.109375" bestFit="1" customWidth="1"/>
    <col min="14" max="14" width="13.33203125" bestFit="1" customWidth="1"/>
    <col min="15" max="16" width="12" bestFit="1" customWidth="1"/>
    <col min="17" max="17" width="12.6640625" bestFit="1" customWidth="1"/>
    <col min="18" max="18" width="12.44140625" bestFit="1" customWidth="1"/>
    <col min="19" max="20" width="12" bestFit="1" customWidth="1"/>
    <col min="21" max="21" width="13.21875" bestFit="1" customWidth="1"/>
    <col min="22" max="23" width="12" bestFit="1" customWidth="1"/>
    <col min="24" max="24" width="12.6640625" bestFit="1" customWidth="1"/>
    <col min="25" max="28" width="12" bestFit="1" customWidth="1"/>
    <col min="29" max="29" width="11" bestFit="1" customWidth="1"/>
    <col min="30" max="33" width="12" bestFit="1" customWidth="1"/>
    <col min="34" max="35" width="11" bestFit="1" customWidth="1"/>
  </cols>
  <sheetData>
    <row r="1" spans="1:35" x14ac:dyDescent="0.3">
      <c r="A1" t="s">
        <v>0</v>
      </c>
      <c r="B1" t="s">
        <v>50</v>
      </c>
      <c r="C1" t="s">
        <v>51</v>
      </c>
      <c r="D1" t="s">
        <v>52</v>
      </c>
      <c r="E1" t="s">
        <v>49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78</v>
      </c>
      <c r="M1" t="s">
        <v>79</v>
      </c>
      <c r="N1" t="s">
        <v>80</v>
      </c>
      <c r="O1" t="s">
        <v>74</v>
      </c>
      <c r="P1" t="s">
        <v>75</v>
      </c>
      <c r="Q1" t="s">
        <v>76</v>
      </c>
      <c r="R1" t="s">
        <v>77</v>
      </c>
      <c r="S1" t="s">
        <v>81</v>
      </c>
      <c r="T1" t="s">
        <v>82</v>
      </c>
      <c r="U1" t="s">
        <v>83</v>
      </c>
      <c r="V1" t="s">
        <v>84</v>
      </c>
      <c r="W1" t="s">
        <v>85</v>
      </c>
      <c r="X1" t="s">
        <v>86</v>
      </c>
      <c r="Y1" t="s">
        <v>87</v>
      </c>
      <c r="Z1" t="s">
        <v>90</v>
      </c>
      <c r="AA1" t="s">
        <v>88</v>
      </c>
      <c r="AB1" t="s">
        <v>89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</row>
    <row r="2" spans="1:35" x14ac:dyDescent="0.3">
      <c r="A2" t="s">
        <v>53</v>
      </c>
      <c r="B2" t="s">
        <v>28</v>
      </c>
      <c r="C2" t="s">
        <v>54</v>
      </c>
      <c r="D2">
        <v>0.48</v>
      </c>
      <c r="E2">
        <v>0.46834999999999999</v>
      </c>
      <c r="F2">
        <f>E2-D2</f>
        <v>-1.1649999999999994E-2</v>
      </c>
      <c r="G2">
        <f>ABS(E2-D2)</f>
        <v>1.1649999999999994E-2</v>
      </c>
      <c r="H2">
        <f>AVERAGE(F2:F5)</f>
        <v>1.1787499999999271E-2</v>
      </c>
      <c r="I2">
        <f>AVERAGE(G2:G5)</f>
        <v>1.7612499999999268E-2</v>
      </c>
      <c r="J2">
        <f>H2/SUM(D2:D5)</f>
        <v>5.4195402298847222E-4</v>
      </c>
      <c r="K2">
        <f>I2/SUM(D2:D5)</f>
        <v>8.097701149424951E-4</v>
      </c>
      <c r="L2">
        <f>_xlfn.STDEV.S(F2:F5)</f>
        <v>1.9568581323130427E-2</v>
      </c>
      <c r="M2" cm="1">
        <f t="array" ref="M2">SQRT(AVERAGE(F2:F5^2))</f>
        <v>2.0643211656618733E-2</v>
      </c>
      <c r="N2" cm="1">
        <f t="array" ref="N2">SQRT(AVERAGE((F2:F5/D2:D5)^2))</f>
        <v>1.2462993226172836E-2</v>
      </c>
      <c r="O2" s="8">
        <f>AVERAGE(F2:F9)</f>
        <v>2.9243749999999354E-2</v>
      </c>
      <c r="P2" s="8">
        <f>AVERAGE(G2:G9)</f>
        <v>3.4881249999999552E-2</v>
      </c>
      <c r="Q2" s="8">
        <f>O2/SUM(D2:D9)</f>
        <v>6.7227011494251383E-4</v>
      </c>
      <c r="R2" s="8">
        <f>P2/SUM(D2:D9)</f>
        <v>8.0186781609194375E-4</v>
      </c>
      <c r="S2" s="8">
        <f>_xlfn.STDEV.S(F2:F9)</f>
        <v>6.4184692698381424E-2</v>
      </c>
      <c r="T2" s="8" cm="1">
        <f t="array" ref="T2">SQRT(AVERAGE(F2:F9^2))</f>
        <v>6.6782575150632767E-2</v>
      </c>
      <c r="U2" s="8" cm="1">
        <f t="array" ref="U2">SQRT(AVERAGE((F2:F9/D2:D9)^2))</f>
        <v>1.3964740240363427E-2</v>
      </c>
      <c r="V2" s="10">
        <f>AVERAGE(F2:F13)</f>
        <v>2.8716666666666339E-2</v>
      </c>
      <c r="W2" s="10">
        <f>AVERAGE(G2:G13)</f>
        <v>3.4824999999999953E-2</v>
      </c>
      <c r="X2" s="10">
        <f>V2/SUM(D2:D13)</f>
        <v>3.9038426681166854E-4</v>
      </c>
      <c r="Y2" s="10">
        <f>W2/SUM(D2:D13)</f>
        <v>4.7342305600869974E-4</v>
      </c>
      <c r="Z2" s="10">
        <f>_xlfn.STDEV.S(F2:F13)</f>
        <v>5.3889152152329679E-2</v>
      </c>
      <c r="AA2" s="10" cm="1">
        <f t="array" ref="AA2">SQRT(AVERAGE(F2:F13^2))</f>
        <v>5.904815213733014E-2</v>
      </c>
      <c r="AB2" s="10" cm="1">
        <f t="array" ref="AB2">SQRT(AVERAGE((F2:F13/D2:D13)^2))</f>
        <v>1.6118900164086254E-2</v>
      </c>
      <c r="AC2" s="12">
        <f>AVERAGE(F2:F17)</f>
        <v>1.9318749999999784E-2</v>
      </c>
      <c r="AD2" s="12">
        <f>AVERAGE(G2:G17)</f>
        <v>3.0134374999999981E-2</v>
      </c>
      <c r="AE2" s="12">
        <f>AC2/SUM(D2:D17)</f>
        <v>2.4058219178081923E-4</v>
      </c>
      <c r="AF2" s="12">
        <f>AD2/SUM(D2:D17)</f>
        <v>3.7527241594022395E-4</v>
      </c>
      <c r="AG2" s="12">
        <f>_xlfn.STDEV.S(F2:F17)</f>
        <v>5.063917743868513E-2</v>
      </c>
      <c r="AH2" s="12" cm="1">
        <f t="array" ref="AH2">SQRT(AVERAGE(F2:F17^2))</f>
        <v>5.269981024633736E-2</v>
      </c>
      <c r="AI2" s="12" cm="1">
        <f t="array" ref="AI2">SQRT(AVERAGE((F2:F17/D2:D17)^2))</f>
        <v>1.5350329788032972E-2</v>
      </c>
    </row>
    <row r="3" spans="1:35" x14ac:dyDescent="0.3">
      <c r="C3" t="s">
        <v>55</v>
      </c>
      <c r="D3">
        <v>11.97</v>
      </c>
      <c r="E3">
        <v>11.999699999999999</v>
      </c>
      <c r="F3">
        <f t="shared" ref="F3:F65" si="0">E3-D3</f>
        <v>2.9699999999998283E-2</v>
      </c>
      <c r="G3">
        <f t="shared" ref="G3:G65" si="1">ABS(E3-D3)</f>
        <v>2.9699999999998283E-2</v>
      </c>
      <c r="O3" s="8"/>
      <c r="P3" s="8"/>
      <c r="Q3" s="8"/>
      <c r="R3" s="8"/>
      <c r="S3" s="8"/>
      <c r="T3" s="8"/>
      <c r="U3" s="8"/>
      <c r="V3" s="10"/>
      <c r="W3" s="10"/>
      <c r="X3" s="10"/>
      <c r="Y3" s="10"/>
      <c r="Z3" s="10"/>
      <c r="AA3" s="10"/>
      <c r="AB3" s="10"/>
      <c r="AC3" s="12"/>
      <c r="AD3" s="12"/>
      <c r="AE3" s="12"/>
      <c r="AF3" s="12"/>
      <c r="AG3" s="12"/>
      <c r="AH3" s="12"/>
      <c r="AI3" s="12"/>
    </row>
    <row r="4" spans="1:35" x14ac:dyDescent="0.3">
      <c r="C4" t="s">
        <v>56</v>
      </c>
      <c r="D4">
        <v>8.5500000000000007</v>
      </c>
      <c r="E4">
        <v>8.5760249999999996</v>
      </c>
      <c r="F4">
        <f t="shared" si="0"/>
        <v>2.6024999999998855E-2</v>
      </c>
      <c r="G4">
        <f t="shared" si="1"/>
        <v>2.6024999999998855E-2</v>
      </c>
      <c r="O4" s="8"/>
      <c r="P4" s="8"/>
      <c r="Q4" s="8"/>
      <c r="R4" s="8"/>
      <c r="S4" s="8"/>
      <c r="T4" s="8"/>
      <c r="U4" s="8"/>
      <c r="V4" s="10"/>
      <c r="W4" s="10"/>
      <c r="X4" s="10"/>
      <c r="Y4" s="10"/>
      <c r="Z4" s="10"/>
      <c r="AA4" s="10"/>
      <c r="AB4" s="10"/>
      <c r="AC4" s="12"/>
      <c r="AD4" s="12"/>
      <c r="AE4" s="12"/>
      <c r="AF4" s="12"/>
      <c r="AG4" s="12"/>
      <c r="AH4" s="12"/>
      <c r="AI4" s="12"/>
    </row>
    <row r="5" spans="1:35" x14ac:dyDescent="0.3">
      <c r="C5" t="s">
        <v>57</v>
      </c>
      <c r="D5">
        <v>0.75</v>
      </c>
      <c r="E5">
        <v>0.75307499999999994</v>
      </c>
      <c r="F5">
        <f t="shared" si="0"/>
        <v>3.0749999999999389E-3</v>
      </c>
      <c r="G5">
        <f t="shared" si="1"/>
        <v>3.0749999999999389E-3</v>
      </c>
      <c r="O5" s="8"/>
      <c r="P5" s="8"/>
      <c r="Q5" s="8"/>
      <c r="R5" s="8"/>
      <c r="S5" s="8"/>
      <c r="T5" s="8"/>
      <c r="U5" s="8"/>
      <c r="V5" s="10"/>
      <c r="W5" s="10"/>
      <c r="X5" s="10"/>
      <c r="Y5" s="10"/>
      <c r="Z5" s="10"/>
      <c r="AA5" s="10"/>
      <c r="AB5" s="10"/>
      <c r="AC5" s="12"/>
      <c r="AD5" s="12"/>
      <c r="AE5" s="12"/>
      <c r="AF5" s="12"/>
      <c r="AG5" s="12"/>
      <c r="AH5" s="12"/>
      <c r="AI5" s="12"/>
    </row>
    <row r="6" spans="1:35" x14ac:dyDescent="0.3">
      <c r="B6" t="s">
        <v>33</v>
      </c>
      <c r="C6" t="s">
        <v>54</v>
      </c>
      <c r="D6">
        <v>0.48</v>
      </c>
      <c r="E6">
        <v>0.47104999999999997</v>
      </c>
      <c r="F6">
        <f t="shared" si="0"/>
        <v>-8.9500000000000135E-3</v>
      </c>
      <c r="G6">
        <f t="shared" si="1"/>
        <v>8.9500000000000135E-3</v>
      </c>
      <c r="H6">
        <f>AVERAGE(F6:F9)</f>
        <v>4.6699999999999436E-2</v>
      </c>
      <c r="I6">
        <f>AVERAGE(G6:G9)</f>
        <v>5.2149999999999835E-2</v>
      </c>
      <c r="J6">
        <f>H6/SUM(D6:D9)</f>
        <v>2.1471264367815832E-3</v>
      </c>
      <c r="K6">
        <f>I6/SUM(D6:D9)</f>
        <v>2.3977011494252798E-3</v>
      </c>
      <c r="L6">
        <f>_xlfn.STDEV.S(F6:F9)</f>
        <v>9.1744518455690635E-2</v>
      </c>
      <c r="M6" cm="1">
        <f t="array" ref="M6">SQRT(AVERAGE(F6:F9^2))</f>
        <v>9.216117675029907E-2</v>
      </c>
      <c r="N6" cm="1">
        <f t="array" ref="N6">SQRT(AVERAGE((F6:F9/D6:D9)^2))</f>
        <v>1.5319978453183974E-2</v>
      </c>
      <c r="O6" s="8"/>
      <c r="P6" s="8"/>
      <c r="Q6" s="8"/>
      <c r="R6" s="8"/>
      <c r="S6" s="8"/>
      <c r="T6" s="8"/>
      <c r="U6" s="8"/>
      <c r="V6" s="10"/>
      <c r="W6" s="10"/>
      <c r="X6" s="10"/>
      <c r="Y6" s="10"/>
      <c r="Z6" s="10"/>
      <c r="AA6" s="10"/>
      <c r="AB6" s="10"/>
      <c r="AC6" s="12"/>
      <c r="AD6" s="12"/>
      <c r="AE6" s="12"/>
      <c r="AF6" s="12"/>
      <c r="AG6" s="12"/>
      <c r="AH6" s="12"/>
      <c r="AI6" s="12"/>
    </row>
    <row r="7" spans="1:35" x14ac:dyDescent="0.3">
      <c r="C7" t="s">
        <v>55</v>
      </c>
      <c r="D7">
        <v>11.97</v>
      </c>
      <c r="E7">
        <v>12.153549999999999</v>
      </c>
      <c r="F7">
        <f t="shared" si="0"/>
        <v>0.18354999999999855</v>
      </c>
      <c r="G7">
        <f t="shared" si="1"/>
        <v>0.18354999999999855</v>
      </c>
      <c r="O7" s="8"/>
      <c r="P7" s="8"/>
      <c r="Q7" s="8"/>
      <c r="R7" s="8"/>
      <c r="S7" s="8"/>
      <c r="T7" s="8"/>
      <c r="U7" s="8"/>
      <c r="V7" s="10"/>
      <c r="W7" s="10"/>
      <c r="X7" s="10"/>
      <c r="Y7" s="10"/>
      <c r="Z7" s="10"/>
      <c r="AA7" s="10"/>
      <c r="AB7" s="10"/>
      <c r="AC7" s="12"/>
      <c r="AD7" s="12"/>
      <c r="AE7" s="12"/>
      <c r="AF7" s="12"/>
      <c r="AG7" s="12"/>
      <c r="AH7" s="12"/>
      <c r="AI7" s="12"/>
    </row>
    <row r="8" spans="1:35" x14ac:dyDescent="0.3">
      <c r="C8" t="s">
        <v>56</v>
      </c>
      <c r="D8">
        <v>8.5500000000000007</v>
      </c>
      <c r="E8">
        <v>8.5480499999999999</v>
      </c>
      <c r="F8">
        <f t="shared" si="0"/>
        <v>-1.9500000000007844E-3</v>
      </c>
      <c r="G8">
        <f t="shared" si="1"/>
        <v>1.9500000000007844E-3</v>
      </c>
      <c r="O8" s="8"/>
      <c r="P8" s="8"/>
      <c r="Q8" s="8"/>
      <c r="R8" s="8"/>
      <c r="S8" s="8"/>
      <c r="T8" s="8"/>
      <c r="U8" s="8"/>
      <c r="V8" s="10"/>
      <c r="W8" s="10"/>
      <c r="X8" s="10"/>
      <c r="Y8" s="10"/>
      <c r="Z8" s="10"/>
      <c r="AA8" s="10"/>
      <c r="AB8" s="10"/>
      <c r="AC8" s="12"/>
      <c r="AD8" s="12"/>
      <c r="AE8" s="12"/>
      <c r="AF8" s="12"/>
      <c r="AG8" s="12"/>
      <c r="AH8" s="12"/>
      <c r="AI8" s="12"/>
    </row>
    <row r="9" spans="1:35" x14ac:dyDescent="0.3">
      <c r="C9" t="s">
        <v>57</v>
      </c>
      <c r="D9">
        <v>0.75</v>
      </c>
      <c r="E9">
        <v>0.76415</v>
      </c>
      <c r="F9">
        <f t="shared" si="0"/>
        <v>1.4149999999999996E-2</v>
      </c>
      <c r="G9">
        <f t="shared" si="1"/>
        <v>1.4149999999999996E-2</v>
      </c>
      <c r="O9" s="8"/>
      <c r="P9" s="8"/>
      <c r="Q9" s="8"/>
      <c r="R9" s="8"/>
      <c r="S9" s="8"/>
      <c r="T9" s="8"/>
      <c r="U9" s="8"/>
      <c r="V9" s="10"/>
      <c r="W9" s="10"/>
      <c r="X9" s="10"/>
      <c r="Y9" s="10"/>
      <c r="Z9" s="10"/>
      <c r="AA9" s="10"/>
      <c r="AB9" s="10"/>
      <c r="AC9" s="12"/>
      <c r="AD9" s="12"/>
      <c r="AE9" s="12"/>
      <c r="AF9" s="12"/>
      <c r="AG9" s="12"/>
      <c r="AH9" s="12"/>
      <c r="AI9" s="12"/>
    </row>
    <row r="10" spans="1:35" x14ac:dyDescent="0.3">
      <c r="B10" t="s">
        <v>35</v>
      </c>
      <c r="C10" t="s">
        <v>58</v>
      </c>
      <c r="D10">
        <v>3.1</v>
      </c>
      <c r="E10">
        <v>3.1375999999999999</v>
      </c>
      <c r="F10">
        <f t="shared" si="0"/>
        <v>3.7599999999999856E-2</v>
      </c>
      <c r="G10">
        <f t="shared" si="1"/>
        <v>3.7599999999999856E-2</v>
      </c>
      <c r="H10">
        <f>AVERAGE(F10:F13)</f>
        <v>2.7662500000000312E-2</v>
      </c>
      <c r="I10">
        <f>AVERAGE(G10:G13)</f>
        <v>3.4712500000000757E-2</v>
      </c>
      <c r="J10">
        <f>H10/SUM(D10:D13)</f>
        <v>9.2024284763806753E-4</v>
      </c>
      <c r="K10">
        <f>I10/SUM(D10:D13)</f>
        <v>1.1547737857618347E-3</v>
      </c>
      <c r="L10">
        <f>_xlfn.STDEV.S(F10:F13)</f>
        <v>3.2145797418429163E-2</v>
      </c>
      <c r="M10" cm="1">
        <f t="array" ref="M10">SQRT(AVERAGE(F10:F13^2))</f>
        <v>3.9245740214703971E-2</v>
      </c>
      <c r="N10" cm="1">
        <f t="array" ref="N10">SQRT(AVERAGE((F10:F13/D10:D13)^2))</f>
        <v>1.9733952658747521E-2</v>
      </c>
      <c r="O10" s="4">
        <v>2.7662500000000312E-2</v>
      </c>
      <c r="P10" s="4">
        <v>3.4712500000000757E-2</v>
      </c>
      <c r="Q10" s="4">
        <v>9.2024284763806753E-4</v>
      </c>
      <c r="R10" s="4">
        <v>1.1547737857618347E-3</v>
      </c>
      <c r="S10" s="4">
        <v>3.2145797418429163E-2</v>
      </c>
      <c r="T10" s="4">
        <v>3.9245740214703971E-2</v>
      </c>
      <c r="U10" s="4">
        <v>1.9733952658747521E-2</v>
      </c>
      <c r="V10" s="10"/>
      <c r="W10" s="10"/>
      <c r="X10" s="10"/>
      <c r="Y10" s="10"/>
      <c r="Z10" s="10"/>
      <c r="AA10" s="10"/>
      <c r="AB10" s="10"/>
      <c r="AC10" s="12"/>
      <c r="AD10" s="12"/>
      <c r="AE10" s="12"/>
      <c r="AF10" s="12"/>
      <c r="AG10" s="12"/>
      <c r="AH10" s="12"/>
      <c r="AI10" s="12"/>
    </row>
    <row r="11" spans="1:35" x14ac:dyDescent="0.3">
      <c r="C11" t="s">
        <v>59</v>
      </c>
      <c r="D11">
        <v>15.16</v>
      </c>
      <c r="E11">
        <v>15.145899999999999</v>
      </c>
      <c r="F11">
        <f t="shared" si="0"/>
        <v>-1.410000000000089E-2</v>
      </c>
      <c r="G11">
        <f t="shared" si="1"/>
        <v>1.410000000000089E-2</v>
      </c>
      <c r="O11" s="4"/>
      <c r="P11" s="4"/>
      <c r="Q11" s="4"/>
      <c r="R11" s="4"/>
      <c r="S11" s="4"/>
      <c r="T11" s="4"/>
      <c r="U11" s="4"/>
      <c r="V11" s="10"/>
      <c r="W11" s="10"/>
      <c r="X11" s="10"/>
      <c r="Y11" s="10"/>
      <c r="Z11" s="10"/>
      <c r="AA11" s="10"/>
      <c r="AB11" s="10"/>
      <c r="AC11" s="12"/>
      <c r="AD11" s="12"/>
      <c r="AE11" s="12"/>
      <c r="AF11" s="12"/>
      <c r="AG11" s="12"/>
      <c r="AH11" s="12"/>
      <c r="AI11" s="12"/>
    </row>
    <row r="12" spans="1:35" x14ac:dyDescent="0.3">
      <c r="C12" t="s">
        <v>60</v>
      </c>
      <c r="D12">
        <v>1.68</v>
      </c>
      <c r="E12">
        <v>1.74295</v>
      </c>
      <c r="F12">
        <f t="shared" si="0"/>
        <v>6.2950000000000061E-2</v>
      </c>
      <c r="G12">
        <f t="shared" si="1"/>
        <v>6.2950000000000061E-2</v>
      </c>
      <c r="O12" s="4"/>
      <c r="P12" s="4"/>
      <c r="Q12" s="4"/>
      <c r="R12" s="4"/>
      <c r="S12" s="4"/>
      <c r="T12" s="4"/>
      <c r="U12" s="4"/>
      <c r="V12" s="10"/>
      <c r="W12" s="10"/>
      <c r="X12" s="10"/>
      <c r="Y12" s="10"/>
      <c r="Z12" s="10"/>
      <c r="AA12" s="10"/>
      <c r="AB12" s="10"/>
      <c r="AC12" s="12"/>
      <c r="AD12" s="12"/>
      <c r="AE12" s="12"/>
      <c r="AF12" s="12"/>
      <c r="AG12" s="12"/>
      <c r="AH12" s="12"/>
      <c r="AI12" s="12"/>
    </row>
    <row r="13" spans="1:35" x14ac:dyDescent="0.3">
      <c r="C13" t="s">
        <v>61</v>
      </c>
      <c r="D13">
        <v>10.119999999999999</v>
      </c>
      <c r="E13">
        <v>10.144200000000001</v>
      </c>
      <c r="F13">
        <f t="shared" si="0"/>
        <v>2.420000000000222E-2</v>
      </c>
      <c r="G13">
        <f t="shared" si="1"/>
        <v>2.420000000000222E-2</v>
      </c>
      <c r="O13" s="4"/>
      <c r="P13" s="4"/>
      <c r="Q13" s="4"/>
      <c r="R13" s="4"/>
      <c r="S13" s="4"/>
      <c r="T13" s="4"/>
      <c r="U13" s="4"/>
      <c r="V13" s="10"/>
      <c r="W13" s="10"/>
      <c r="X13" s="10"/>
      <c r="Y13" s="10"/>
      <c r="Z13" s="10"/>
      <c r="AA13" s="10"/>
      <c r="AB13" s="10"/>
      <c r="AC13" s="12"/>
      <c r="AD13" s="12"/>
      <c r="AE13" s="12"/>
      <c r="AF13" s="12"/>
      <c r="AG13" s="12"/>
      <c r="AH13" s="12"/>
      <c r="AI13" s="12"/>
    </row>
    <row r="14" spans="1:35" x14ac:dyDescent="0.3">
      <c r="B14" t="s">
        <v>40</v>
      </c>
      <c r="C14" t="s">
        <v>62</v>
      </c>
      <c r="D14">
        <v>2.5</v>
      </c>
      <c r="E14">
        <v>2.5098250000000002</v>
      </c>
      <c r="F14">
        <f t="shared" si="0"/>
        <v>9.8250000000001947E-3</v>
      </c>
      <c r="G14">
        <f t="shared" si="1"/>
        <v>9.8250000000001947E-3</v>
      </c>
      <c r="H14">
        <f>AVERAGE(F14:F17)</f>
        <v>-8.874999999999883E-3</v>
      </c>
      <c r="I14">
        <f>AVERAGE(G14:G17)</f>
        <v>1.6062500000000063E-2</v>
      </c>
      <c r="J14">
        <f>H14/SUM(D14:D17)</f>
        <v>-1.3167655786349975E-3</v>
      </c>
      <c r="K14">
        <f>I14/SUM(D14:D17)</f>
        <v>2.3831602373887333E-3</v>
      </c>
      <c r="L14">
        <f>_xlfn.STDEV.S(F14:F17)</f>
        <v>2.7574422024767821E-2</v>
      </c>
      <c r="M14" cm="1">
        <f t="array" ref="M14">SQRT(AVERAGE(F14:F17^2))</f>
        <v>2.5476012001488742E-2</v>
      </c>
      <c r="N14" cm="1">
        <f t="array" ref="N14">SQRT(AVERAGE((F14:F17/D14:D17)^2))</f>
        <v>1.277003018423018E-2</v>
      </c>
      <c r="O14" s="9">
        <v>-8.874999999999883E-3</v>
      </c>
      <c r="P14" s="9">
        <v>1.6062500000000063E-2</v>
      </c>
      <c r="Q14" s="9">
        <v>-1.3167655786349975E-3</v>
      </c>
      <c r="R14" s="9">
        <v>2.3831602373887333E-3</v>
      </c>
      <c r="S14" s="9">
        <v>2.7574422024767821E-2</v>
      </c>
      <c r="T14" s="9">
        <v>2.5476012001488742E-2</v>
      </c>
      <c r="U14" s="9">
        <v>1.277003018423018E-2</v>
      </c>
      <c r="V14" s="9">
        <v>-8.874999999999883E-3</v>
      </c>
      <c r="W14" s="9">
        <v>1.6062500000000063E-2</v>
      </c>
      <c r="X14" s="9">
        <v>-1.3167655786349975E-3</v>
      </c>
      <c r="Y14" s="9">
        <v>2.3831602373887333E-3</v>
      </c>
      <c r="Z14" s="9">
        <v>2.7574422024767821E-2</v>
      </c>
      <c r="AA14" s="9">
        <v>2.5476012001488742E-2</v>
      </c>
      <c r="AB14" s="9">
        <v>1.277003018423018E-2</v>
      </c>
      <c r="AC14" s="12"/>
      <c r="AD14" s="12"/>
      <c r="AE14" s="12"/>
      <c r="AF14" s="12"/>
      <c r="AG14" s="12"/>
      <c r="AH14" s="12"/>
      <c r="AI14" s="12"/>
    </row>
    <row r="15" spans="1:35" x14ac:dyDescent="0.3">
      <c r="C15" t="s">
        <v>63</v>
      </c>
      <c r="D15">
        <v>1.99</v>
      </c>
      <c r="E15">
        <v>1.9401250000000001</v>
      </c>
      <c r="F15">
        <f t="shared" si="0"/>
        <v>-4.9874999999999892E-2</v>
      </c>
      <c r="G15">
        <f t="shared" si="1"/>
        <v>4.9874999999999892E-2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2"/>
      <c r="AD15" s="12"/>
      <c r="AE15" s="12"/>
      <c r="AF15" s="12"/>
      <c r="AG15" s="12"/>
      <c r="AH15" s="12"/>
      <c r="AI15" s="12"/>
    </row>
    <row r="16" spans="1:35" x14ac:dyDescent="0.3">
      <c r="C16" t="s">
        <v>64</v>
      </c>
      <c r="D16">
        <v>1.64</v>
      </c>
      <c r="E16">
        <v>1.6432</v>
      </c>
      <c r="F16">
        <f t="shared" si="0"/>
        <v>3.2000000000000917E-3</v>
      </c>
      <c r="G16">
        <f t="shared" si="1"/>
        <v>3.2000000000000917E-3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2"/>
      <c r="AD16" s="12"/>
      <c r="AE16" s="12"/>
      <c r="AF16" s="12"/>
      <c r="AG16" s="12"/>
      <c r="AH16" s="12"/>
      <c r="AI16" s="12"/>
    </row>
    <row r="17" spans="1:35" x14ac:dyDescent="0.3">
      <c r="C17" t="s">
        <v>65</v>
      </c>
      <c r="D17">
        <v>0.61</v>
      </c>
      <c r="E17">
        <v>0.61135000000000006</v>
      </c>
      <c r="F17">
        <f t="shared" si="0"/>
        <v>1.3500000000000734E-3</v>
      </c>
      <c r="G17">
        <f t="shared" si="1"/>
        <v>1.3500000000000734E-3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2"/>
      <c r="AD17" s="12"/>
      <c r="AE17" s="12"/>
      <c r="AF17" s="12"/>
      <c r="AG17" s="12"/>
      <c r="AH17" s="12"/>
      <c r="AI17" s="12"/>
    </row>
    <row r="18" spans="1:35" x14ac:dyDescent="0.3">
      <c r="A18" t="s">
        <v>66</v>
      </c>
      <c r="B18" t="s">
        <v>28</v>
      </c>
      <c r="C18" t="s">
        <v>54</v>
      </c>
      <c r="D18">
        <v>0.48</v>
      </c>
      <c r="E18">
        <v>0.47909999999999997</v>
      </c>
      <c r="F18">
        <f t="shared" si="0"/>
        <v>-9.000000000000119E-4</v>
      </c>
      <c r="G18">
        <f t="shared" si="1"/>
        <v>9.000000000000119E-4</v>
      </c>
      <c r="H18">
        <f>AVERAGE(F18:F21)</f>
        <v>4.1199999999999654E-2</v>
      </c>
      <c r="I18">
        <f>AVERAGE(G18:G21)</f>
        <v>4.164999999999966E-2</v>
      </c>
      <c r="J18">
        <f>H18/SUM(D18:D21)</f>
        <v>1.8942528735632024E-3</v>
      </c>
      <c r="K18">
        <f>I18/SUM(D18:D21)</f>
        <v>1.9149425287356165E-3</v>
      </c>
      <c r="L18">
        <f>_xlfn.STDEV.S(F18:F21)</f>
        <v>5.6029512312709299E-2</v>
      </c>
      <c r="M18" cm="1">
        <f t="array" ref="M18">SQRT(AVERAGE(F18:F21^2))</f>
        <v>6.3654691009382841E-2</v>
      </c>
      <c r="N18" cm="1">
        <f t="array" ref="N18">SQRT(AVERAGE((F18:F21/D18:D21)^2))</f>
        <v>1.2724621256543316E-2</v>
      </c>
      <c r="O18" s="8">
        <f>AVERAGE(F18:F25)</f>
        <v>3.4147187499999739E-2</v>
      </c>
      <c r="P18" s="8">
        <f>AVERAGE(G18:G25)</f>
        <v>3.4372187499999741E-2</v>
      </c>
      <c r="Q18" s="8">
        <f>O18/SUM(D18:D25)</f>
        <v>7.8499281609194802E-4</v>
      </c>
      <c r="R18" s="8">
        <f>P18/SUM(D18:D25)</f>
        <v>7.9016522988505154E-4</v>
      </c>
      <c r="S18" s="8">
        <f>_xlfn.STDEV.S(F18:F25)</f>
        <v>3.9880777356603503E-2</v>
      </c>
      <c r="T18" s="8" cm="1">
        <f t="array" ref="T18">SQRT(AVERAGE(F18:F25^2))</f>
        <v>5.0573681558753907E-2</v>
      </c>
      <c r="U18" s="8" cm="1">
        <f t="array" ref="U18">SQRT(AVERAGE((F18:F25/D18:D25)^2))</f>
        <v>1.2352323294748238E-2</v>
      </c>
      <c r="V18" s="10">
        <f>AVERAGE(F18:F29)</f>
        <v>3.9904374999999846E-2</v>
      </c>
      <c r="W18" s="10">
        <f>AVERAGE(G18:G29)</f>
        <v>4.0054374999999851E-2</v>
      </c>
      <c r="X18" s="10">
        <f>V18/SUM(D18:D29)</f>
        <v>5.4247383088634922E-4</v>
      </c>
      <c r="Y18" s="10">
        <f>W18/SUM(D18:D29)</f>
        <v>5.4451298259923671E-4</v>
      </c>
      <c r="Z18" s="10">
        <f>_xlfn.STDEV.S(F18:F29)</f>
        <v>4.3999353328473836E-2</v>
      </c>
      <c r="AA18" s="10" cm="1">
        <f t="array" ref="AA18">SQRT(AVERAGE(F18:F29^2))</f>
        <v>5.802562921980399E-2</v>
      </c>
      <c r="AB18" s="10" cm="1">
        <f t="array" ref="AB18">SQRT(AVERAGE((F18:F29/D18:D29)^2))</f>
        <v>1.3337841403166658E-2</v>
      </c>
      <c r="AC18" s="12">
        <f>AVERAGE(F18:F33)</f>
        <v>4.0654843749999864E-2</v>
      </c>
      <c r="AD18" s="12">
        <f>AVERAGE(G18:G33)</f>
        <v>4.8695468749999873E-2</v>
      </c>
      <c r="AE18" s="12">
        <f>AC18/SUM(D18:D33)</f>
        <v>5.0628697073474302E-4</v>
      </c>
      <c r="AF18" s="12">
        <f>AD18/SUM(D18:D33)</f>
        <v>6.0641928704856631E-4</v>
      </c>
      <c r="AG18" s="12">
        <f>_xlfn.STDEV.S(F18:F33)</f>
        <v>5.3021023821285304E-2</v>
      </c>
      <c r="AH18" s="12" cm="1">
        <f t="array" ref="AH18">SQRT(AVERAGE(F18:F33^2))</f>
        <v>6.5485444771743936E-2</v>
      </c>
      <c r="AI18" s="12" cm="1">
        <f t="array" ref="AI18">SQRT(AVERAGE((F18:F33/D18:D33)^2))</f>
        <v>2.46763671281841E-2</v>
      </c>
    </row>
    <row r="19" spans="1:35" x14ac:dyDescent="0.3">
      <c r="C19" t="s">
        <v>55</v>
      </c>
      <c r="D19">
        <v>11.97</v>
      </c>
      <c r="E19">
        <v>12.093675000000001</v>
      </c>
      <c r="F19">
        <f t="shared" si="0"/>
        <v>0.12367500000000042</v>
      </c>
      <c r="G19">
        <f t="shared" si="1"/>
        <v>0.12367500000000042</v>
      </c>
      <c r="O19" s="8"/>
      <c r="P19" s="8"/>
      <c r="Q19" s="8"/>
      <c r="R19" s="8"/>
      <c r="S19" s="8"/>
      <c r="T19" s="8"/>
      <c r="U19" s="8"/>
      <c r="V19" s="10"/>
      <c r="W19" s="10"/>
      <c r="X19" s="10"/>
      <c r="Y19" s="10"/>
      <c r="Z19" s="10"/>
      <c r="AA19" s="10"/>
      <c r="AB19" s="10"/>
      <c r="AC19" s="12"/>
      <c r="AD19" s="12"/>
      <c r="AE19" s="12"/>
      <c r="AF19" s="12"/>
      <c r="AG19" s="12"/>
      <c r="AH19" s="12"/>
      <c r="AI19" s="12"/>
    </row>
    <row r="20" spans="1:35" x14ac:dyDescent="0.3">
      <c r="C20" t="s">
        <v>56</v>
      </c>
      <c r="D20">
        <v>8.5500000000000007</v>
      </c>
      <c r="E20">
        <v>8.5747749999999989</v>
      </c>
      <c r="F20">
        <f t="shared" si="0"/>
        <v>2.4774999999998215E-2</v>
      </c>
      <c r="G20">
        <f t="shared" si="1"/>
        <v>2.4774999999998215E-2</v>
      </c>
      <c r="O20" s="8"/>
      <c r="P20" s="8"/>
      <c r="Q20" s="8"/>
      <c r="R20" s="8"/>
      <c r="S20" s="8"/>
      <c r="T20" s="8"/>
      <c r="U20" s="8"/>
      <c r="V20" s="10"/>
      <c r="W20" s="10"/>
      <c r="X20" s="10"/>
      <c r="Y20" s="10"/>
      <c r="Z20" s="10"/>
      <c r="AA20" s="10"/>
      <c r="AB20" s="10"/>
      <c r="AC20" s="12"/>
      <c r="AD20" s="12"/>
      <c r="AE20" s="12"/>
      <c r="AF20" s="12"/>
      <c r="AG20" s="12"/>
      <c r="AH20" s="12"/>
      <c r="AI20" s="12"/>
    </row>
    <row r="21" spans="1:35" x14ac:dyDescent="0.3">
      <c r="C21" t="s">
        <v>57</v>
      </c>
      <c r="D21">
        <v>0.75</v>
      </c>
      <c r="E21">
        <v>0.76724999999999999</v>
      </c>
      <c r="F21">
        <f t="shared" si="0"/>
        <v>1.7249999999999988E-2</v>
      </c>
      <c r="G21">
        <f t="shared" si="1"/>
        <v>1.7249999999999988E-2</v>
      </c>
      <c r="O21" s="8"/>
      <c r="P21" s="8"/>
      <c r="Q21" s="8"/>
      <c r="R21" s="8"/>
      <c r="S21" s="8"/>
      <c r="T21" s="8"/>
      <c r="U21" s="8"/>
      <c r="V21" s="10"/>
      <c r="W21" s="10"/>
      <c r="X21" s="10"/>
      <c r="Y21" s="10"/>
      <c r="Z21" s="10"/>
      <c r="AA21" s="10"/>
      <c r="AB21" s="10"/>
      <c r="AC21" s="12"/>
      <c r="AD21" s="12"/>
      <c r="AE21" s="12"/>
      <c r="AF21" s="12"/>
      <c r="AG21" s="12"/>
      <c r="AH21" s="12"/>
      <c r="AI21" s="12"/>
    </row>
    <row r="22" spans="1:35" x14ac:dyDescent="0.3">
      <c r="B22" t="s">
        <v>33</v>
      </c>
      <c r="C22" t="s">
        <v>54</v>
      </c>
      <c r="D22">
        <v>0.48</v>
      </c>
      <c r="E22">
        <v>0.48417499999999997</v>
      </c>
      <c r="F22">
        <f t="shared" si="0"/>
        <v>4.1749999999999843E-3</v>
      </c>
      <c r="G22">
        <f t="shared" si="1"/>
        <v>4.1749999999999843E-3</v>
      </c>
      <c r="H22">
        <f>AVERAGE(F22:F25)</f>
        <v>2.7094374999999823E-2</v>
      </c>
      <c r="I22">
        <f>AVERAGE(G22:G25)</f>
        <v>2.7094374999999823E-2</v>
      </c>
      <c r="J22">
        <f>H22/SUM(D22:D25)</f>
        <v>1.2457183908045897E-3</v>
      </c>
      <c r="K22">
        <f>I22/SUM(D22:D25)</f>
        <v>1.2457183908045897E-3</v>
      </c>
      <c r="L22">
        <f>_xlfn.STDEV.S(F22:F25)</f>
        <v>2.0956134779482303E-2</v>
      </c>
      <c r="M22" cm="1">
        <f t="array" ref="M22">SQRT(AVERAGE(F22:F25^2))</f>
        <v>3.2610962042118385E-2</v>
      </c>
      <c r="N22" cm="1">
        <f t="array" ref="N22">SQRT(AVERAGE((F22:F25/D22:D25)^2))</f>
        <v>1.1968450001294484E-2</v>
      </c>
      <c r="O22" s="8"/>
      <c r="P22" s="8"/>
      <c r="Q22" s="8"/>
      <c r="R22" s="8"/>
      <c r="S22" s="8"/>
      <c r="T22" s="8"/>
      <c r="U22" s="8"/>
      <c r="V22" s="10"/>
      <c r="W22" s="10"/>
      <c r="X22" s="10"/>
      <c r="Y22" s="10"/>
      <c r="Z22" s="10"/>
      <c r="AA22" s="10"/>
      <c r="AB22" s="10"/>
      <c r="AC22" s="12"/>
      <c r="AD22" s="12"/>
      <c r="AE22" s="12"/>
      <c r="AF22" s="12"/>
      <c r="AG22" s="12"/>
      <c r="AH22" s="12"/>
      <c r="AI22" s="12"/>
    </row>
    <row r="23" spans="1:35" x14ac:dyDescent="0.3">
      <c r="C23" t="s">
        <v>55</v>
      </c>
      <c r="D23">
        <v>11.97</v>
      </c>
      <c r="E23">
        <v>12.0075</v>
      </c>
      <c r="F23">
        <f t="shared" si="0"/>
        <v>3.7499999999999645E-2</v>
      </c>
      <c r="G23">
        <f t="shared" si="1"/>
        <v>3.7499999999999645E-2</v>
      </c>
      <c r="O23" s="8"/>
      <c r="P23" s="8"/>
      <c r="Q23" s="8"/>
      <c r="R23" s="8"/>
      <c r="S23" s="8"/>
      <c r="T23" s="8"/>
      <c r="U23" s="8"/>
      <c r="V23" s="10"/>
      <c r="W23" s="10"/>
      <c r="X23" s="10"/>
      <c r="Y23" s="10"/>
      <c r="Z23" s="10"/>
      <c r="AA23" s="10"/>
      <c r="AB23" s="10"/>
      <c r="AC23" s="12"/>
      <c r="AD23" s="12"/>
      <c r="AE23" s="12"/>
      <c r="AF23" s="12"/>
      <c r="AG23" s="12"/>
      <c r="AH23" s="12"/>
      <c r="AI23" s="12"/>
    </row>
    <row r="24" spans="1:35" x14ac:dyDescent="0.3">
      <c r="C24" t="s">
        <v>56</v>
      </c>
      <c r="D24">
        <v>8.5500000000000007</v>
      </c>
      <c r="E24">
        <v>8.6007525000000005</v>
      </c>
      <c r="F24">
        <f t="shared" si="0"/>
        <v>5.0752499999999756E-2</v>
      </c>
      <c r="G24">
        <f t="shared" si="1"/>
        <v>5.0752499999999756E-2</v>
      </c>
      <c r="O24" s="8"/>
      <c r="P24" s="8"/>
      <c r="Q24" s="8"/>
      <c r="R24" s="8"/>
      <c r="S24" s="8"/>
      <c r="T24" s="8"/>
      <c r="U24" s="8"/>
      <c r="V24" s="10"/>
      <c r="W24" s="10"/>
      <c r="X24" s="10"/>
      <c r="Y24" s="10"/>
      <c r="Z24" s="10"/>
      <c r="AA24" s="10"/>
      <c r="AB24" s="10"/>
      <c r="AC24" s="12"/>
      <c r="AD24" s="12"/>
      <c r="AE24" s="12"/>
      <c r="AF24" s="12"/>
      <c r="AG24" s="12"/>
      <c r="AH24" s="12"/>
      <c r="AI24" s="12"/>
    </row>
    <row r="25" spans="1:35" x14ac:dyDescent="0.3">
      <c r="C25" t="s">
        <v>57</v>
      </c>
      <c r="D25">
        <v>0.75</v>
      </c>
      <c r="E25">
        <v>0.76594999999999991</v>
      </c>
      <c r="F25">
        <f t="shared" si="0"/>
        <v>1.5949999999999909E-2</v>
      </c>
      <c r="G25">
        <f t="shared" si="1"/>
        <v>1.5949999999999909E-2</v>
      </c>
      <c r="O25" s="8"/>
      <c r="P25" s="8"/>
      <c r="Q25" s="8"/>
      <c r="R25" s="8"/>
      <c r="S25" s="8"/>
      <c r="T25" s="8"/>
      <c r="U25" s="8"/>
      <c r="V25" s="10"/>
      <c r="W25" s="10"/>
      <c r="X25" s="10"/>
      <c r="Y25" s="10"/>
      <c r="Z25" s="10"/>
      <c r="AA25" s="10"/>
      <c r="AB25" s="10"/>
      <c r="AC25" s="12"/>
      <c r="AD25" s="12"/>
      <c r="AE25" s="12"/>
      <c r="AF25" s="12"/>
      <c r="AG25" s="12"/>
      <c r="AH25" s="12"/>
      <c r="AI25" s="12"/>
    </row>
    <row r="26" spans="1:35" x14ac:dyDescent="0.3">
      <c r="B26" t="s">
        <v>35</v>
      </c>
      <c r="C26" t="s">
        <v>58</v>
      </c>
      <c r="D26">
        <v>3.1</v>
      </c>
      <c r="E26">
        <v>3.10365</v>
      </c>
      <c r="F26">
        <f t="shared" si="0"/>
        <v>3.6499999999999311E-3</v>
      </c>
      <c r="G26">
        <f t="shared" si="1"/>
        <v>3.6499999999999311E-3</v>
      </c>
      <c r="H26">
        <f>AVERAGE(F26:F29)</f>
        <v>5.1418750000000069E-2</v>
      </c>
      <c r="I26">
        <f>AVERAGE(G26:G29)</f>
        <v>5.1418750000000069E-2</v>
      </c>
      <c r="J26">
        <f>H26/SUM(D26:D29)</f>
        <v>1.7105372588157041E-3</v>
      </c>
      <c r="K26">
        <f>I26/SUM(D26:D29)</f>
        <v>1.7105372588157041E-3</v>
      </c>
      <c r="L26">
        <f>_xlfn.STDEV.S(F26:F29)</f>
        <v>5.5876513309111871E-2</v>
      </c>
      <c r="M26" cm="1">
        <f t="array" ref="M26">SQRT(AVERAGE(F26:F29^2))</f>
        <v>7.0608260184273228E-2</v>
      </c>
      <c r="N26" cm="1">
        <f t="array" ref="N26">SQRT(AVERAGE((F26:F29/D26:D29)^2))</f>
        <v>1.5117349580271012E-2</v>
      </c>
      <c r="O26" s="4">
        <v>5.1418750000000069E-2</v>
      </c>
      <c r="P26" s="4">
        <v>5.1418750000000069E-2</v>
      </c>
      <c r="Q26" s="4">
        <v>1.7105372588157041E-3</v>
      </c>
      <c r="R26" s="4">
        <v>1.7105372588157041E-3</v>
      </c>
      <c r="S26" s="4">
        <v>5.5876513309111871E-2</v>
      </c>
      <c r="T26" s="4">
        <v>7.0608260184273228E-2</v>
      </c>
      <c r="U26" s="4">
        <v>1.5117349580271012E-2</v>
      </c>
      <c r="V26" s="10"/>
      <c r="W26" s="10"/>
      <c r="X26" s="10"/>
      <c r="Y26" s="10"/>
      <c r="Z26" s="10"/>
      <c r="AA26" s="10"/>
      <c r="AB26" s="10"/>
      <c r="AC26" s="12"/>
      <c r="AD26" s="12"/>
      <c r="AE26" s="12"/>
      <c r="AF26" s="12"/>
      <c r="AG26" s="12"/>
      <c r="AH26" s="12"/>
      <c r="AI26" s="12"/>
    </row>
    <row r="27" spans="1:35" x14ac:dyDescent="0.3">
      <c r="C27" t="s">
        <v>59</v>
      </c>
      <c r="D27">
        <v>15.16</v>
      </c>
      <c r="E27">
        <v>15.290575</v>
      </c>
      <c r="F27">
        <f t="shared" si="0"/>
        <v>0.13057500000000033</v>
      </c>
      <c r="G27">
        <f t="shared" si="1"/>
        <v>0.13057500000000033</v>
      </c>
      <c r="O27" s="4"/>
      <c r="P27" s="4"/>
      <c r="Q27" s="4"/>
      <c r="R27" s="4"/>
      <c r="S27" s="4"/>
      <c r="T27" s="4"/>
      <c r="U27" s="4"/>
      <c r="V27" s="10"/>
      <c r="W27" s="10"/>
      <c r="X27" s="10"/>
      <c r="Y27" s="10"/>
      <c r="Z27" s="10"/>
      <c r="AA27" s="10"/>
      <c r="AB27" s="10"/>
      <c r="AC27" s="12"/>
      <c r="AD27" s="12"/>
      <c r="AE27" s="12"/>
      <c r="AF27" s="12"/>
      <c r="AG27" s="12"/>
      <c r="AH27" s="12"/>
      <c r="AI27" s="12"/>
    </row>
    <row r="28" spans="1:35" x14ac:dyDescent="0.3">
      <c r="C28" t="s">
        <v>60</v>
      </c>
      <c r="D28">
        <v>1.68</v>
      </c>
      <c r="E28">
        <v>1.7285000000000001</v>
      </c>
      <c r="F28">
        <f t="shared" si="0"/>
        <v>4.850000000000021E-2</v>
      </c>
      <c r="G28">
        <f t="shared" si="1"/>
        <v>4.850000000000021E-2</v>
      </c>
      <c r="O28" s="4"/>
      <c r="P28" s="4"/>
      <c r="Q28" s="4"/>
      <c r="R28" s="4"/>
      <c r="S28" s="4"/>
      <c r="T28" s="4"/>
      <c r="U28" s="4"/>
      <c r="V28" s="10"/>
      <c r="W28" s="10"/>
      <c r="X28" s="10"/>
      <c r="Y28" s="10"/>
      <c r="Z28" s="10"/>
      <c r="AA28" s="10"/>
      <c r="AB28" s="10"/>
      <c r="AC28" s="12"/>
      <c r="AD28" s="12"/>
      <c r="AE28" s="12"/>
      <c r="AF28" s="12"/>
      <c r="AG28" s="12"/>
      <c r="AH28" s="12"/>
      <c r="AI28" s="12"/>
    </row>
    <row r="29" spans="1:35" x14ac:dyDescent="0.3">
      <c r="C29" t="s">
        <v>61</v>
      </c>
      <c r="D29">
        <v>10.119999999999999</v>
      </c>
      <c r="E29">
        <v>10.142949999999999</v>
      </c>
      <c r="F29">
        <f t="shared" si="0"/>
        <v>2.2949999999999804E-2</v>
      </c>
      <c r="G29">
        <f t="shared" si="1"/>
        <v>2.2949999999999804E-2</v>
      </c>
      <c r="O29" s="4"/>
      <c r="P29" s="4"/>
      <c r="Q29" s="4"/>
      <c r="R29" s="4"/>
      <c r="S29" s="4"/>
      <c r="T29" s="4"/>
      <c r="U29" s="4"/>
      <c r="V29" s="10"/>
      <c r="W29" s="10"/>
      <c r="X29" s="10"/>
      <c r="Y29" s="10"/>
      <c r="Z29" s="10"/>
      <c r="AA29" s="10"/>
      <c r="AB29" s="10"/>
      <c r="AC29" s="12"/>
      <c r="AD29" s="12"/>
      <c r="AE29" s="12"/>
      <c r="AF29" s="12"/>
      <c r="AG29" s="12"/>
      <c r="AH29" s="12"/>
      <c r="AI29" s="12"/>
    </row>
    <row r="30" spans="1:35" x14ac:dyDescent="0.3">
      <c r="B30" t="s">
        <v>40</v>
      </c>
      <c r="C30" t="s">
        <v>62</v>
      </c>
      <c r="D30">
        <v>2.5</v>
      </c>
      <c r="E30">
        <v>2.6235749999999998</v>
      </c>
      <c r="F30">
        <f t="shared" si="0"/>
        <v>0.12357499999999977</v>
      </c>
      <c r="G30">
        <f t="shared" si="1"/>
        <v>0.12357499999999977</v>
      </c>
      <c r="H30">
        <f>AVERAGE(F30:F33)</f>
        <v>4.2906249999999924E-2</v>
      </c>
      <c r="I30">
        <f>AVERAGE(G30:G33)</f>
        <v>7.4618749999999956E-2</v>
      </c>
      <c r="J30">
        <f>H30/SUM(D30:D33)</f>
        <v>6.3659124629080006E-3</v>
      </c>
      <c r="K30">
        <f>I30/SUM(D30:D33)</f>
        <v>1.1071031157270022E-2</v>
      </c>
      <c r="L30">
        <f>_xlfn.STDEV.S(F30:F33)</f>
        <v>8.3358716238415398E-2</v>
      </c>
      <c r="M30" cm="1">
        <f t="array" ref="M30">SQRT(AVERAGE(F30:F33^2))</f>
        <v>8.3978884064686093E-2</v>
      </c>
      <c r="N30" cm="1">
        <f t="array" ref="N30">SQRT(AVERAGE((F30:F33/D30:D33)^2))</f>
        <v>4.3611905928216656E-2</v>
      </c>
      <c r="O30" s="9">
        <v>4.2906249999999924E-2</v>
      </c>
      <c r="P30" s="9">
        <v>7.4618749999999956E-2</v>
      </c>
      <c r="Q30" s="9">
        <v>6.3659124629080006E-3</v>
      </c>
      <c r="R30" s="9">
        <v>1.1071031157270022E-2</v>
      </c>
      <c r="S30" s="9">
        <v>8.3358716238415398E-2</v>
      </c>
      <c r="T30" s="9">
        <v>8.3978884064686093E-2</v>
      </c>
      <c r="U30" s="9">
        <v>4.3611905928216656E-2</v>
      </c>
      <c r="V30" s="9">
        <v>4.2906249999999924E-2</v>
      </c>
      <c r="W30" s="9">
        <v>7.4618749999999956E-2</v>
      </c>
      <c r="X30" s="9">
        <v>6.3659124629080006E-3</v>
      </c>
      <c r="Y30" s="9">
        <v>1.1071031157270022E-2</v>
      </c>
      <c r="Z30" s="9">
        <v>8.3358716238415398E-2</v>
      </c>
      <c r="AA30" s="9">
        <v>8.3978884064686093E-2</v>
      </c>
      <c r="AB30" s="9">
        <v>4.3611905928216656E-2</v>
      </c>
      <c r="AC30" s="12"/>
      <c r="AD30" s="12"/>
      <c r="AE30" s="12"/>
      <c r="AF30" s="12"/>
      <c r="AG30" s="12"/>
      <c r="AH30" s="12"/>
      <c r="AI30" s="12"/>
    </row>
    <row r="31" spans="1:35" x14ac:dyDescent="0.3">
      <c r="C31" t="s">
        <v>63</v>
      </c>
      <c r="D31">
        <v>1.99</v>
      </c>
      <c r="E31">
        <v>1.9265749999999999</v>
      </c>
      <c r="F31">
        <f t="shared" si="0"/>
        <v>-6.3425000000000065E-2</v>
      </c>
      <c r="G31">
        <f t="shared" si="1"/>
        <v>6.3425000000000065E-2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2"/>
      <c r="AD31" s="12"/>
      <c r="AE31" s="12"/>
      <c r="AF31" s="12"/>
      <c r="AG31" s="12"/>
      <c r="AH31" s="12"/>
      <c r="AI31" s="12"/>
    </row>
    <row r="32" spans="1:35" x14ac:dyDescent="0.3">
      <c r="C32" t="s">
        <v>64</v>
      </c>
      <c r="D32">
        <v>1.64</v>
      </c>
      <c r="E32">
        <v>1.7324999999999999</v>
      </c>
      <c r="F32">
        <f t="shared" si="0"/>
        <v>9.2500000000000027E-2</v>
      </c>
      <c r="G32">
        <f t="shared" si="1"/>
        <v>9.2500000000000027E-2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2"/>
      <c r="AD32" s="12"/>
      <c r="AE32" s="12"/>
      <c r="AF32" s="12"/>
      <c r="AG32" s="12"/>
      <c r="AH32" s="12"/>
      <c r="AI32" s="12"/>
    </row>
    <row r="33" spans="1:35" x14ac:dyDescent="0.3">
      <c r="C33" t="s">
        <v>65</v>
      </c>
      <c r="D33">
        <v>0.61</v>
      </c>
      <c r="E33">
        <v>0.62897499999999995</v>
      </c>
      <c r="F33">
        <f t="shared" si="0"/>
        <v>1.8974999999999964E-2</v>
      </c>
      <c r="G33">
        <f t="shared" si="1"/>
        <v>1.8974999999999964E-2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12"/>
      <c r="AD33" s="12"/>
      <c r="AE33" s="12"/>
      <c r="AF33" s="12"/>
      <c r="AG33" s="12"/>
      <c r="AH33" s="12"/>
      <c r="AI33" s="12"/>
    </row>
    <row r="34" spans="1:35" x14ac:dyDescent="0.3">
      <c r="A34" t="s">
        <v>67</v>
      </c>
      <c r="B34" t="s">
        <v>28</v>
      </c>
      <c r="C34" t="s">
        <v>54</v>
      </c>
      <c r="D34">
        <v>0.48</v>
      </c>
      <c r="E34">
        <v>0.46765000000000001</v>
      </c>
      <c r="F34">
        <f t="shared" si="0"/>
        <v>-1.2349999999999972E-2</v>
      </c>
      <c r="G34">
        <f t="shared" si="1"/>
        <v>1.2349999999999972E-2</v>
      </c>
      <c r="H34">
        <f>AVERAGE(F34:F37)</f>
        <v>4.4580624999999596E-2</v>
      </c>
      <c r="I34">
        <f>AVERAGE(G34:G37)</f>
        <v>5.0755624999999582E-2</v>
      </c>
      <c r="J34">
        <f>H34/SUM(D34:D37)</f>
        <v>2.0496839080459584E-3</v>
      </c>
      <c r="K34">
        <f>I34/SUM(D34:D37)</f>
        <v>2.3335919540229694E-3</v>
      </c>
      <c r="L34">
        <f>_xlfn.STDEV.S(F34:F37)</f>
        <v>7.3403151623272517E-2</v>
      </c>
      <c r="M34" cm="1">
        <f t="array" ref="M34">SQRT(AVERAGE(F34:F37^2))</f>
        <v>7.76430880797669E-2</v>
      </c>
      <c r="N34" cm="1">
        <f t="array" ref="N34">SQRT(AVERAGE((F34:F37/D34:D37)^2))</f>
        <v>1.7841671825177423E-2</v>
      </c>
      <c r="O34" s="8">
        <f>AVERAGE(F34:F41)</f>
        <v>3.6552812499999754E-2</v>
      </c>
      <c r="P34" s="8">
        <f>AVERAGE(G34:G41)</f>
        <v>4.1815312499999729E-2</v>
      </c>
      <c r="Q34" s="8">
        <f>O34/SUM(D34:D41)</f>
        <v>8.4029454022987939E-4</v>
      </c>
      <c r="R34" s="8">
        <f>P34/SUM(D34:D41)</f>
        <v>9.6127155172413175E-4</v>
      </c>
      <c r="S34" s="8">
        <f>_xlfn.STDEV.S(F34:F41)</f>
        <v>5.2102838478982554E-2</v>
      </c>
      <c r="T34" s="8" cm="1">
        <f t="array" ref="T34">SQRT(AVERAGE(F34:F41^2))</f>
        <v>6.0921881594639009E-2</v>
      </c>
      <c r="U34" s="8" cm="1">
        <f t="array" ref="U34">SQRT(AVERAGE((F34:F41/D34:D41)^2))</f>
        <v>2.1737675718545905E-2</v>
      </c>
      <c r="V34" s="10">
        <f>AVERAGE(F34:F45)</f>
        <v>3.8137291666666538E-2</v>
      </c>
      <c r="W34" s="10">
        <f>AVERAGE(G34:G45)</f>
        <v>5.2503958333333045E-2</v>
      </c>
      <c r="X34" s="10">
        <f>V34/SUM(D34:D45)</f>
        <v>5.184514908464728E-4</v>
      </c>
      <c r="Y34" s="10">
        <f>W34/SUM(D34:D45)</f>
        <v>7.1375691045857861E-4</v>
      </c>
      <c r="Z34" s="10">
        <f>_xlfn.STDEV.S(F34:F45)</f>
        <v>5.960246882716802E-2</v>
      </c>
      <c r="AA34" s="10" cm="1">
        <f t="array" ref="AA34">SQRT(AVERAGE(F34:F45^2))</f>
        <v>6.8635773824132454E-2</v>
      </c>
      <c r="AB34" s="10" cm="1">
        <f t="array" ref="AB34">SQRT(AVERAGE((F34:F45/D34:D45)^2))</f>
        <v>2.8198586403600862E-2</v>
      </c>
      <c r="AC34" s="12">
        <f>AVERAGE(F34:F49)</f>
        <v>4.2508124999999931E-2</v>
      </c>
      <c r="AD34" s="12">
        <f>AVERAGE(G34:G49)</f>
        <v>5.5076874999999796E-2</v>
      </c>
      <c r="AE34" s="12">
        <f>AC34/SUM(D34:D49)</f>
        <v>5.2936643835616352E-4</v>
      </c>
      <c r="AF34" s="12">
        <f>AD34/SUM(D34:D49)</f>
        <v>6.8588885429638608E-4</v>
      </c>
      <c r="AG34" s="12">
        <f>_xlfn.STDEV.S(F34:F49)</f>
        <v>6.4660507012266125E-2</v>
      </c>
      <c r="AH34" s="12" cm="1">
        <f t="array" ref="AH34">SQRT(AVERAGE(F34:F49^2))</f>
        <v>7.5674371719600217E-2</v>
      </c>
      <c r="AI34" s="12" cm="1">
        <f t="array" ref="AI34">SQRT(AVERAGE((F34:F49/D34:D49)^2))</f>
        <v>3.2258921200309432E-2</v>
      </c>
    </row>
    <row r="35" spans="1:35" x14ac:dyDescent="0.3">
      <c r="C35" t="s">
        <v>55</v>
      </c>
      <c r="D35">
        <v>11.97</v>
      </c>
      <c r="E35">
        <v>12.122325</v>
      </c>
      <c r="F35">
        <f t="shared" si="0"/>
        <v>0.15232499999999938</v>
      </c>
      <c r="G35">
        <f t="shared" si="1"/>
        <v>0.15232499999999938</v>
      </c>
      <c r="O35" s="8"/>
      <c r="P35" s="8"/>
      <c r="Q35" s="8"/>
      <c r="R35" s="8"/>
      <c r="S35" s="8"/>
      <c r="T35" s="8"/>
      <c r="U35" s="8"/>
      <c r="V35" s="10"/>
      <c r="W35" s="10"/>
      <c r="X35" s="10"/>
      <c r="Y35" s="10"/>
      <c r="Z35" s="10"/>
      <c r="AA35" s="10"/>
      <c r="AB35" s="10"/>
      <c r="AC35" s="12"/>
      <c r="AD35" s="12"/>
      <c r="AE35" s="12"/>
      <c r="AF35" s="12"/>
      <c r="AG35" s="12"/>
      <c r="AH35" s="12"/>
      <c r="AI35" s="12"/>
    </row>
    <row r="36" spans="1:35" x14ac:dyDescent="0.3">
      <c r="C36" t="s">
        <v>56</v>
      </c>
      <c r="D36">
        <v>8.5500000000000007</v>
      </c>
      <c r="E36">
        <v>8.5725724999999997</v>
      </c>
      <c r="F36">
        <f t="shared" si="0"/>
        <v>2.2572499999998996E-2</v>
      </c>
      <c r="G36">
        <f t="shared" si="1"/>
        <v>2.2572499999998996E-2</v>
      </c>
      <c r="O36" s="8"/>
      <c r="P36" s="8"/>
      <c r="Q36" s="8"/>
      <c r="R36" s="8"/>
      <c r="S36" s="8"/>
      <c r="T36" s="8"/>
      <c r="U36" s="8"/>
      <c r="V36" s="10"/>
      <c r="W36" s="10"/>
      <c r="X36" s="10"/>
      <c r="Y36" s="10"/>
      <c r="Z36" s="10"/>
      <c r="AA36" s="10"/>
      <c r="AB36" s="10"/>
      <c r="AC36" s="12"/>
      <c r="AD36" s="12"/>
      <c r="AE36" s="12"/>
      <c r="AF36" s="12"/>
      <c r="AG36" s="12"/>
      <c r="AH36" s="12"/>
      <c r="AI36" s="12"/>
    </row>
    <row r="37" spans="1:35" x14ac:dyDescent="0.3">
      <c r="C37" t="s">
        <v>57</v>
      </c>
      <c r="D37">
        <v>0.75</v>
      </c>
      <c r="E37">
        <v>0.76577499999999998</v>
      </c>
      <c r="F37">
        <f t="shared" si="0"/>
        <v>1.5774999999999983E-2</v>
      </c>
      <c r="G37">
        <f t="shared" si="1"/>
        <v>1.5774999999999983E-2</v>
      </c>
      <c r="O37" s="8"/>
      <c r="P37" s="8"/>
      <c r="Q37" s="8"/>
      <c r="R37" s="8"/>
      <c r="S37" s="8"/>
      <c r="T37" s="8"/>
      <c r="U37" s="8"/>
      <c r="V37" s="10"/>
      <c r="W37" s="10"/>
      <c r="X37" s="10"/>
      <c r="Y37" s="10"/>
      <c r="Z37" s="10"/>
      <c r="AA37" s="10"/>
      <c r="AB37" s="10"/>
      <c r="AC37" s="12"/>
      <c r="AD37" s="12"/>
      <c r="AE37" s="12"/>
      <c r="AF37" s="12"/>
      <c r="AG37" s="12"/>
      <c r="AH37" s="12"/>
      <c r="AI37" s="12"/>
    </row>
    <row r="38" spans="1:35" x14ac:dyDescent="0.3">
      <c r="B38" t="s">
        <v>33</v>
      </c>
      <c r="C38" t="s">
        <v>54</v>
      </c>
      <c r="D38">
        <v>0.48</v>
      </c>
      <c r="E38">
        <v>0.50312500000000004</v>
      </c>
      <c r="F38">
        <f t="shared" si="0"/>
        <v>2.3125000000000062E-2</v>
      </c>
      <c r="G38">
        <f t="shared" si="1"/>
        <v>2.3125000000000062E-2</v>
      </c>
      <c r="H38">
        <f>AVERAGE(F38:F41)</f>
        <v>2.8524999999999912E-2</v>
      </c>
      <c r="I38">
        <f>AVERAGE(G38:G41)</f>
        <v>3.2874999999999877E-2</v>
      </c>
      <c r="J38">
        <f>H38/SUM(D38:D41)</f>
        <v>1.3114942528735592E-3</v>
      </c>
      <c r="K38">
        <f>I38/SUM(D38:D41)</f>
        <v>1.5114942528735575E-3</v>
      </c>
      <c r="L38">
        <f>_xlfn.STDEV.S(F38:F41)</f>
        <v>2.7828679750693489E-2</v>
      </c>
      <c r="M38" cm="1">
        <f t="array" ref="M38">SQRT(AVERAGE(F38:F41^2))</f>
        <v>3.7343033988951516E-2</v>
      </c>
      <c r="N38" cm="1">
        <f t="array" ref="N38">SQRT(AVERAGE((F38:F41/D38:D41)^2))</f>
        <v>2.5034532905009243E-2</v>
      </c>
      <c r="O38" s="8"/>
      <c r="P38" s="8"/>
      <c r="Q38" s="8"/>
      <c r="R38" s="8"/>
      <c r="S38" s="8"/>
      <c r="T38" s="8"/>
      <c r="U38" s="8"/>
      <c r="V38" s="10"/>
      <c r="W38" s="10"/>
      <c r="X38" s="10"/>
      <c r="Y38" s="10"/>
      <c r="Z38" s="10"/>
      <c r="AA38" s="10"/>
      <c r="AB38" s="10"/>
      <c r="AC38" s="12"/>
      <c r="AD38" s="12"/>
      <c r="AE38" s="12"/>
      <c r="AF38" s="12"/>
      <c r="AG38" s="12"/>
      <c r="AH38" s="12"/>
      <c r="AI38" s="12"/>
    </row>
    <row r="39" spans="1:35" x14ac:dyDescent="0.3">
      <c r="C39" t="s">
        <v>55</v>
      </c>
      <c r="D39">
        <v>11.97</v>
      </c>
      <c r="E39">
        <v>12.019825000000001</v>
      </c>
      <c r="F39">
        <f t="shared" si="0"/>
        <v>4.982500000000023E-2</v>
      </c>
      <c r="G39">
        <f t="shared" si="1"/>
        <v>4.982500000000023E-2</v>
      </c>
      <c r="O39" s="8"/>
      <c r="P39" s="8"/>
      <c r="Q39" s="8"/>
      <c r="R39" s="8"/>
      <c r="S39" s="8"/>
      <c r="T39" s="8"/>
      <c r="U39" s="8"/>
      <c r="V39" s="10"/>
      <c r="W39" s="10"/>
      <c r="X39" s="10"/>
      <c r="Y39" s="10"/>
      <c r="Z39" s="10"/>
      <c r="AA39" s="10"/>
      <c r="AB39" s="10"/>
      <c r="AC39" s="12"/>
      <c r="AD39" s="12"/>
      <c r="AE39" s="12"/>
      <c r="AF39" s="12"/>
      <c r="AG39" s="12"/>
      <c r="AH39" s="12"/>
      <c r="AI39" s="12"/>
    </row>
    <row r="40" spans="1:35" x14ac:dyDescent="0.3">
      <c r="C40" t="s">
        <v>56</v>
      </c>
      <c r="D40">
        <v>8.5500000000000007</v>
      </c>
      <c r="E40">
        <v>8.59985</v>
      </c>
      <c r="F40">
        <f t="shared" si="0"/>
        <v>4.9849999999999284E-2</v>
      </c>
      <c r="G40">
        <f t="shared" si="1"/>
        <v>4.9849999999999284E-2</v>
      </c>
      <c r="O40" s="8"/>
      <c r="P40" s="8"/>
      <c r="Q40" s="8"/>
      <c r="R40" s="8"/>
      <c r="S40" s="8"/>
      <c r="T40" s="8"/>
      <c r="U40" s="8"/>
      <c r="V40" s="10"/>
      <c r="W40" s="10"/>
      <c r="X40" s="10"/>
      <c r="Y40" s="10"/>
      <c r="Z40" s="10"/>
      <c r="AA40" s="10"/>
      <c r="AB40" s="10"/>
      <c r="AC40" s="12"/>
      <c r="AD40" s="12"/>
      <c r="AE40" s="12"/>
      <c r="AF40" s="12"/>
      <c r="AG40" s="12"/>
      <c r="AH40" s="12"/>
      <c r="AI40" s="12"/>
    </row>
    <row r="41" spans="1:35" x14ac:dyDescent="0.3">
      <c r="C41" t="s">
        <v>57</v>
      </c>
      <c r="D41">
        <v>0.75</v>
      </c>
      <c r="E41">
        <v>0.74130000000000007</v>
      </c>
      <c r="F41">
        <f t="shared" si="0"/>
        <v>-8.69999999999993E-3</v>
      </c>
      <c r="G41">
        <f t="shared" si="1"/>
        <v>8.69999999999993E-3</v>
      </c>
      <c r="O41" s="8"/>
      <c r="P41" s="8"/>
      <c r="Q41" s="8"/>
      <c r="R41" s="8"/>
      <c r="S41" s="8"/>
      <c r="T41" s="8"/>
      <c r="U41" s="8"/>
      <c r="V41" s="10"/>
      <c r="W41" s="10"/>
      <c r="X41" s="10"/>
      <c r="Y41" s="10"/>
      <c r="Z41" s="10"/>
      <c r="AA41" s="10"/>
      <c r="AB41" s="10"/>
      <c r="AC41" s="12"/>
      <c r="AD41" s="12"/>
      <c r="AE41" s="12"/>
      <c r="AF41" s="12"/>
      <c r="AG41" s="12"/>
      <c r="AH41" s="12"/>
      <c r="AI41" s="12"/>
    </row>
    <row r="42" spans="1:35" x14ac:dyDescent="0.3">
      <c r="B42" t="s">
        <v>35</v>
      </c>
      <c r="C42" t="s">
        <v>58</v>
      </c>
      <c r="D42">
        <v>3.1</v>
      </c>
      <c r="E42">
        <v>3.1916500000000001</v>
      </c>
      <c r="F42">
        <f t="shared" si="0"/>
        <v>9.1650000000000009E-2</v>
      </c>
      <c r="G42">
        <f t="shared" si="1"/>
        <v>9.1650000000000009E-2</v>
      </c>
      <c r="H42">
        <f>AVERAGE(F42:F45)</f>
        <v>4.13062500000001E-2</v>
      </c>
      <c r="I42">
        <f>AVERAGE(G42:G45)</f>
        <v>7.3881249999999676E-2</v>
      </c>
      <c r="J42">
        <f>H42/SUM(D42:D45)</f>
        <v>1.3741267465069893E-3</v>
      </c>
      <c r="K42">
        <f>I42/SUM(D42:D45)</f>
        <v>2.4577927478376472E-3</v>
      </c>
      <c r="L42">
        <f>_xlfn.STDEV.S(F42:F45)</f>
        <v>8.1677828425160443E-2</v>
      </c>
      <c r="M42" cm="1">
        <f t="array" ref="M42">SQRT(AVERAGE(F42:F45^2))</f>
        <v>8.1912496184953179E-2</v>
      </c>
      <c r="N42" cm="1">
        <f t="array" ref="N42">SQRT(AVERAGE((F42:F45/D42:D45)^2))</f>
        <v>3.7952967396433043E-2</v>
      </c>
      <c r="O42" s="4">
        <v>4.13062500000001E-2</v>
      </c>
      <c r="P42" s="4">
        <v>7.3881249999999676E-2</v>
      </c>
      <c r="Q42" s="4">
        <v>1.3741267465069893E-3</v>
      </c>
      <c r="R42" s="4">
        <v>2.4577927478376472E-3</v>
      </c>
      <c r="S42" s="4">
        <v>8.1677828425160443E-2</v>
      </c>
      <c r="T42" s="4">
        <v>8.1912496184953179E-2</v>
      </c>
      <c r="U42" s="4">
        <v>3.7952967396433043E-2</v>
      </c>
      <c r="V42" s="10"/>
      <c r="W42" s="10"/>
      <c r="X42" s="10"/>
      <c r="Y42" s="10"/>
      <c r="Z42" s="10"/>
      <c r="AA42" s="10"/>
      <c r="AB42" s="10"/>
      <c r="AC42" s="12"/>
      <c r="AD42" s="12"/>
      <c r="AE42" s="12"/>
      <c r="AF42" s="12"/>
      <c r="AG42" s="12"/>
      <c r="AH42" s="12"/>
      <c r="AI42" s="12"/>
    </row>
    <row r="43" spans="1:35" x14ac:dyDescent="0.3">
      <c r="C43" t="s">
        <v>59</v>
      </c>
      <c r="D43">
        <v>15.16</v>
      </c>
      <c r="E43">
        <v>15.094850000000001</v>
      </c>
      <c r="F43">
        <f t="shared" si="0"/>
        <v>-6.5149999999999153E-2</v>
      </c>
      <c r="G43">
        <f t="shared" si="1"/>
        <v>6.5149999999999153E-2</v>
      </c>
      <c r="O43" s="4"/>
      <c r="P43" s="4"/>
      <c r="Q43" s="4"/>
      <c r="R43" s="4"/>
      <c r="S43" s="4"/>
      <c r="T43" s="4"/>
      <c r="U43" s="4"/>
      <c r="V43" s="10"/>
      <c r="W43" s="10"/>
      <c r="X43" s="10"/>
      <c r="Y43" s="10"/>
      <c r="Z43" s="10"/>
      <c r="AA43" s="10"/>
      <c r="AB43" s="10"/>
      <c r="AC43" s="12"/>
      <c r="AD43" s="12"/>
      <c r="AE43" s="12"/>
      <c r="AF43" s="12"/>
      <c r="AG43" s="12"/>
      <c r="AH43" s="12"/>
      <c r="AI43" s="12"/>
    </row>
    <row r="44" spans="1:35" x14ac:dyDescent="0.3">
      <c r="C44" t="s">
        <v>60</v>
      </c>
      <c r="D44">
        <v>1.68</v>
      </c>
      <c r="E44">
        <v>1.797175</v>
      </c>
      <c r="F44">
        <f t="shared" si="0"/>
        <v>0.11717500000000003</v>
      </c>
      <c r="G44">
        <f t="shared" si="1"/>
        <v>0.11717500000000003</v>
      </c>
      <c r="O44" s="4"/>
      <c r="P44" s="4"/>
      <c r="Q44" s="4"/>
      <c r="R44" s="4"/>
      <c r="S44" s="4"/>
      <c r="T44" s="4"/>
      <c r="U44" s="4"/>
      <c r="V44" s="10"/>
      <c r="W44" s="10"/>
      <c r="X44" s="10"/>
      <c r="Y44" s="10"/>
      <c r="Z44" s="10"/>
      <c r="AA44" s="10"/>
      <c r="AB44" s="10"/>
      <c r="AC44" s="12"/>
      <c r="AD44" s="12"/>
      <c r="AE44" s="12"/>
      <c r="AF44" s="12"/>
      <c r="AG44" s="12"/>
      <c r="AH44" s="12"/>
      <c r="AI44" s="12"/>
    </row>
    <row r="45" spans="1:35" x14ac:dyDescent="0.3">
      <c r="C45" t="s">
        <v>61</v>
      </c>
      <c r="D45">
        <v>10.119999999999999</v>
      </c>
      <c r="E45">
        <v>10.141549999999999</v>
      </c>
      <c r="F45">
        <f t="shared" si="0"/>
        <v>2.1549999999999514E-2</v>
      </c>
      <c r="G45">
        <f t="shared" si="1"/>
        <v>2.1549999999999514E-2</v>
      </c>
      <c r="O45" s="4"/>
      <c r="P45" s="4"/>
      <c r="Q45" s="4"/>
      <c r="R45" s="4"/>
      <c r="S45" s="4"/>
      <c r="T45" s="4"/>
      <c r="U45" s="4"/>
      <c r="V45" s="10"/>
      <c r="W45" s="10"/>
      <c r="X45" s="10"/>
      <c r="Y45" s="10"/>
      <c r="Z45" s="10"/>
      <c r="AA45" s="10"/>
      <c r="AB45" s="10"/>
      <c r="AC45" s="12"/>
      <c r="AD45" s="12"/>
      <c r="AE45" s="12"/>
      <c r="AF45" s="12"/>
      <c r="AG45" s="12"/>
      <c r="AH45" s="12"/>
      <c r="AI45" s="12"/>
    </row>
    <row r="46" spans="1:35" x14ac:dyDescent="0.3">
      <c r="B46" t="s">
        <v>40</v>
      </c>
      <c r="C46" t="s">
        <v>62</v>
      </c>
      <c r="D46">
        <v>2.5</v>
      </c>
      <c r="E46">
        <v>2.6827000000000001</v>
      </c>
      <c r="F46">
        <f t="shared" si="0"/>
        <v>0.18270000000000008</v>
      </c>
      <c r="G46">
        <f t="shared" si="1"/>
        <v>0.18270000000000008</v>
      </c>
      <c r="H46">
        <f>AVERAGE(F46:F49)</f>
        <v>5.5620625000000118E-2</v>
      </c>
      <c r="I46">
        <f>AVERAGE(G46:G49)</f>
        <v>6.2795625000000049E-2</v>
      </c>
      <c r="J46">
        <f>H46/SUM(D46:D49)</f>
        <v>8.2523182492581781E-3</v>
      </c>
      <c r="K46">
        <f>I46/SUM(D46:D49)</f>
        <v>9.3168583086053487E-3</v>
      </c>
      <c r="L46">
        <f>_xlfn.STDEV.S(F46:F49)</f>
        <v>8.7026278559385911E-2</v>
      </c>
      <c r="M46" cm="1">
        <f t="array" ref="M46">SQRT(AVERAGE(F46:F49^2))</f>
        <v>9.3668745029025086E-2</v>
      </c>
      <c r="N46" cm="1">
        <f t="array" ref="N46">SQRT(AVERAGE((F46:F49/D46:D49)^2))</f>
        <v>4.215532187692396E-2</v>
      </c>
      <c r="O46" s="9">
        <v>5.5620625000000118E-2</v>
      </c>
      <c r="P46" s="9">
        <v>6.2795625000000049E-2</v>
      </c>
      <c r="Q46" s="9">
        <v>8.2523182492581781E-3</v>
      </c>
      <c r="R46" s="9">
        <v>9.3168583086053487E-3</v>
      </c>
      <c r="S46" s="9">
        <v>8.7026278559385911E-2</v>
      </c>
      <c r="T46" s="9">
        <v>9.3668745029025086E-2</v>
      </c>
      <c r="U46" s="9">
        <v>4.215532187692396E-2</v>
      </c>
      <c r="V46" s="9">
        <v>5.5620625000000118E-2</v>
      </c>
      <c r="W46" s="9">
        <v>6.2795625000000049E-2</v>
      </c>
      <c r="X46" s="9">
        <v>8.2523182492581781E-3</v>
      </c>
      <c r="Y46" s="9">
        <v>9.3168583086053487E-3</v>
      </c>
      <c r="Z46" s="9">
        <v>8.7026278559385911E-2</v>
      </c>
      <c r="AA46" s="9">
        <v>9.3668745029025086E-2</v>
      </c>
      <c r="AB46" s="9">
        <v>4.215532187692396E-2</v>
      </c>
      <c r="AC46" s="12"/>
      <c r="AD46" s="12"/>
      <c r="AE46" s="12"/>
      <c r="AF46" s="12"/>
      <c r="AG46" s="12"/>
      <c r="AH46" s="12"/>
      <c r="AI46" s="12"/>
    </row>
    <row r="47" spans="1:35" x14ac:dyDescent="0.3">
      <c r="C47" t="s">
        <v>63</v>
      </c>
      <c r="D47">
        <v>1.99</v>
      </c>
      <c r="E47">
        <v>1.9756500000000001</v>
      </c>
      <c r="F47">
        <f t="shared" si="0"/>
        <v>-1.4349999999999863E-2</v>
      </c>
      <c r="G47">
        <f t="shared" si="1"/>
        <v>1.4349999999999863E-2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12"/>
      <c r="AD47" s="12"/>
      <c r="AE47" s="12"/>
      <c r="AF47" s="12"/>
      <c r="AG47" s="12"/>
      <c r="AH47" s="12"/>
      <c r="AI47" s="12"/>
    </row>
    <row r="48" spans="1:35" x14ac:dyDescent="0.3">
      <c r="C48" t="s">
        <v>64</v>
      </c>
      <c r="D48">
        <v>1.64</v>
      </c>
      <c r="E48">
        <v>1.6718075000000001</v>
      </c>
      <c r="F48">
        <f t="shared" si="0"/>
        <v>3.1807500000000211E-2</v>
      </c>
      <c r="G48">
        <f t="shared" si="1"/>
        <v>3.1807500000000211E-2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12"/>
      <c r="AD48" s="12"/>
      <c r="AE48" s="12"/>
      <c r="AF48" s="12"/>
      <c r="AG48" s="12"/>
      <c r="AH48" s="12"/>
      <c r="AI48" s="12"/>
    </row>
    <row r="49" spans="1:35" x14ac:dyDescent="0.3">
      <c r="C49" t="s">
        <v>65</v>
      </c>
      <c r="D49">
        <v>0.61</v>
      </c>
      <c r="E49">
        <v>0.63232500000000003</v>
      </c>
      <c r="F49">
        <f t="shared" si="0"/>
        <v>2.2325000000000039E-2</v>
      </c>
      <c r="G49">
        <f t="shared" si="1"/>
        <v>2.2325000000000039E-2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12"/>
      <c r="AD49" s="12"/>
      <c r="AE49" s="12"/>
      <c r="AF49" s="12"/>
      <c r="AG49" s="12"/>
      <c r="AH49" s="12"/>
      <c r="AI49" s="12"/>
    </row>
    <row r="50" spans="1:35" x14ac:dyDescent="0.3">
      <c r="A50" t="s">
        <v>47</v>
      </c>
      <c r="B50" t="s">
        <v>28</v>
      </c>
      <c r="C50" t="s">
        <v>54</v>
      </c>
      <c r="D50">
        <v>0.48</v>
      </c>
      <c r="E50">
        <v>0.42645</v>
      </c>
      <c r="F50">
        <f t="shared" si="0"/>
        <v>-5.3549999999999986E-2</v>
      </c>
      <c r="G50">
        <f t="shared" si="1"/>
        <v>5.3549999999999986E-2</v>
      </c>
      <c r="H50">
        <f>AVERAGE(F50:F53)</f>
        <v>-1.3856250000000681E-2</v>
      </c>
      <c r="I50">
        <f>AVERAGE(G50:G53)</f>
        <v>6.6593749999999896E-2</v>
      </c>
      <c r="J50">
        <f>H50/SUM(D50:D53)</f>
        <v>-6.3706896551727265E-4</v>
      </c>
      <c r="K50">
        <f>I50/SUM(D50:D53)</f>
        <v>3.0617816091953977E-3</v>
      </c>
      <c r="L50">
        <f>_xlfn.STDEV.S(F50:F53)</f>
        <v>8.8675077236597927E-2</v>
      </c>
      <c r="M50" cm="1">
        <f t="array" ref="M50">SQRT(AVERAGE(F50:F53^2))</f>
        <v>7.8034913059796346E-2</v>
      </c>
      <c r="N50" cm="1">
        <f t="array" ref="N50">SQRT(AVERAGE((F50:F53/D50:D53)^2))</f>
        <v>5.6409772630769212E-2</v>
      </c>
      <c r="O50" s="8">
        <f>AVERAGE(F50:F57)</f>
        <v>2.497812499999931E-2</v>
      </c>
      <c r="P50" s="8">
        <f>AVERAGE(G50:G57)</f>
        <v>6.8359375000000014E-2</v>
      </c>
      <c r="Q50" s="8">
        <f>O50/SUM(D50:D57)</f>
        <v>5.7420977011492669E-4</v>
      </c>
      <c r="R50" s="8">
        <f>P50/SUM(D50:D57)</f>
        <v>1.5714798850574715E-3</v>
      </c>
      <c r="S50" s="8">
        <f>_xlfn.STDEV.S(F50:F57)</f>
        <v>9.0671415638222244E-2</v>
      </c>
      <c r="T50" s="8" cm="1">
        <f t="array" ref="T50">SQRT(AVERAGE(F50:F57^2))</f>
        <v>8.8416905287535014E-2</v>
      </c>
      <c r="U50" s="8" cm="1">
        <f t="array" ref="U50">SQRT(AVERAGE((F50:F57/D50:D57)^2))</f>
        <v>6.1404099774317093E-2</v>
      </c>
      <c r="V50" s="10">
        <f>AVERAGE(F50:F61)</f>
        <v>1.8608333333332883E-2</v>
      </c>
      <c r="W50" s="10">
        <f>AVERAGE(G50:G61)</f>
        <v>6.8637500000000268E-2</v>
      </c>
      <c r="X50" s="10">
        <f>V50/SUM(D50:D61)</f>
        <v>2.5296809860430783E-4</v>
      </c>
      <c r="Y50" s="10">
        <f>W50/SUM(D50:D61)</f>
        <v>9.3308183795541414E-4</v>
      </c>
      <c r="Z50" s="10">
        <f>_xlfn.STDEV.S(F50:F61)</f>
        <v>8.9626813620126977E-2</v>
      </c>
      <c r="AA50" s="10" cm="1">
        <f t="array" ref="AA50">SQRT(AVERAGE(F50:F61^2))</f>
        <v>8.7805591958409229E-2</v>
      </c>
      <c r="AB50" s="10" cm="1">
        <f t="array" ref="AB50">SQRT(AVERAGE((F50:F61/D50:D61)^2))</f>
        <v>5.1300574394806689E-2</v>
      </c>
      <c r="AC50" s="12">
        <f>AVERAGE(F50:F65)</f>
        <v>1.3435937499999669E-2</v>
      </c>
      <c r="AD50" s="12">
        <f>AVERAGE(G50:G65)</f>
        <v>5.8504687500000215E-2</v>
      </c>
      <c r="AE50" s="12">
        <f>AC50/SUM(D50:D65)</f>
        <v>1.6732176214196351E-4</v>
      </c>
      <c r="AF50" s="12">
        <f>AD50/SUM(D50:D65)</f>
        <v>7.2857643212951705E-4</v>
      </c>
      <c r="AG50" s="12">
        <f>_xlfn.STDEV.S(F50:F65)</f>
        <v>7.9189978305733252E-2</v>
      </c>
      <c r="AH50" s="12" cm="1">
        <f t="array" ref="AH50">SQRT(AVERAGE(F50:F65^2))</f>
        <v>7.7843665696461742E-2</v>
      </c>
      <c r="AI50" s="12" cm="1">
        <f t="array" ref="AI50">SQRT(AVERAGE((F50:F65/D50:D65)^2))</f>
        <v>4.5163653030732422E-2</v>
      </c>
    </row>
    <row r="51" spans="1:35" x14ac:dyDescent="0.3">
      <c r="C51" t="s">
        <v>55</v>
      </c>
      <c r="D51">
        <v>11.97</v>
      </c>
      <c r="E51">
        <v>11.86835</v>
      </c>
      <c r="F51">
        <f t="shared" si="0"/>
        <v>-0.10165000000000113</v>
      </c>
      <c r="G51">
        <f t="shared" si="1"/>
        <v>0.10165000000000113</v>
      </c>
      <c r="O51" s="8"/>
      <c r="P51" s="8"/>
      <c r="Q51" s="8"/>
      <c r="R51" s="8"/>
      <c r="S51" s="8"/>
      <c r="T51" s="8"/>
      <c r="U51" s="8"/>
      <c r="V51" s="10"/>
      <c r="W51" s="10"/>
      <c r="X51" s="10"/>
      <c r="Y51" s="10"/>
      <c r="Z51" s="10"/>
      <c r="AA51" s="10"/>
      <c r="AB51" s="10"/>
      <c r="AC51" s="12"/>
      <c r="AD51" s="12"/>
      <c r="AE51" s="12"/>
      <c r="AF51" s="12"/>
      <c r="AG51" s="12"/>
      <c r="AH51" s="12"/>
      <c r="AI51" s="12"/>
    </row>
    <row r="52" spans="1:35" x14ac:dyDescent="0.3">
      <c r="C52" t="s">
        <v>56</v>
      </c>
      <c r="D52">
        <v>8.5500000000000007</v>
      </c>
      <c r="E52">
        <v>8.6554749999999991</v>
      </c>
      <c r="F52">
        <f t="shared" si="0"/>
        <v>0.10547499999999843</v>
      </c>
      <c r="G52">
        <f t="shared" si="1"/>
        <v>0.10547499999999843</v>
      </c>
      <c r="O52" s="8"/>
      <c r="P52" s="8"/>
      <c r="Q52" s="8"/>
      <c r="R52" s="8"/>
      <c r="S52" s="8"/>
      <c r="T52" s="8"/>
      <c r="U52" s="8"/>
      <c r="V52" s="10"/>
      <c r="W52" s="10"/>
      <c r="X52" s="10"/>
      <c r="Y52" s="10"/>
      <c r="Z52" s="10"/>
      <c r="AA52" s="10"/>
      <c r="AB52" s="10"/>
      <c r="AC52" s="12"/>
      <c r="AD52" s="12"/>
      <c r="AE52" s="12"/>
      <c r="AF52" s="12"/>
      <c r="AG52" s="12"/>
      <c r="AH52" s="12"/>
      <c r="AI52" s="12"/>
    </row>
    <row r="53" spans="1:35" x14ac:dyDescent="0.3">
      <c r="C53" t="s">
        <v>57</v>
      </c>
      <c r="D53">
        <v>0.75</v>
      </c>
      <c r="E53">
        <v>0.74429999999999996</v>
      </c>
      <c r="F53">
        <f t="shared" si="0"/>
        <v>-5.7000000000000384E-3</v>
      </c>
      <c r="G53">
        <f t="shared" si="1"/>
        <v>5.7000000000000384E-3</v>
      </c>
      <c r="O53" s="8"/>
      <c r="P53" s="8"/>
      <c r="Q53" s="8"/>
      <c r="R53" s="8"/>
      <c r="S53" s="8"/>
      <c r="T53" s="8"/>
      <c r="U53" s="8"/>
      <c r="V53" s="10"/>
      <c r="W53" s="10"/>
      <c r="X53" s="10"/>
      <c r="Y53" s="10"/>
      <c r="Z53" s="10"/>
      <c r="AA53" s="10"/>
      <c r="AB53" s="10"/>
      <c r="AC53" s="12"/>
      <c r="AD53" s="12"/>
      <c r="AE53" s="12"/>
      <c r="AF53" s="12"/>
      <c r="AG53" s="12"/>
      <c r="AH53" s="12"/>
      <c r="AI53" s="12"/>
    </row>
    <row r="54" spans="1:35" x14ac:dyDescent="0.3">
      <c r="B54" t="s">
        <v>33</v>
      </c>
      <c r="C54" t="s">
        <v>54</v>
      </c>
      <c r="D54">
        <v>0.48</v>
      </c>
      <c r="E54">
        <v>0.54072500000000001</v>
      </c>
      <c r="F54">
        <f t="shared" si="0"/>
        <v>6.0725000000000029E-2</v>
      </c>
      <c r="G54">
        <f t="shared" si="1"/>
        <v>6.0725000000000029E-2</v>
      </c>
      <c r="H54">
        <f>AVERAGE(F54:F57)</f>
        <v>6.38124999999993E-2</v>
      </c>
      <c r="I54">
        <f>AVERAGE(G54:G57)</f>
        <v>7.0125000000000132E-2</v>
      </c>
      <c r="J54">
        <f>H54/SUM(D54:D57)</f>
        <v>2.9339080459769794E-3</v>
      </c>
      <c r="K54">
        <f>I54/SUM(D54:D57)</f>
        <v>3.2241379310344888E-3</v>
      </c>
      <c r="L54">
        <f>_xlfn.STDEV.S(F54:F57)</f>
        <v>8.5429233628385795E-2</v>
      </c>
      <c r="M54" cm="1">
        <f t="array" ref="M54">SQRT(AVERAGE(F54:F57^2))</f>
        <v>9.7701845555751413E-2</v>
      </c>
      <c r="N54" cm="1">
        <f t="array" ref="N54">SQRT(AVERAGE((F54:F57/D54:D57)^2))</f>
        <v>6.6021697114914416E-2</v>
      </c>
      <c r="O54" s="8"/>
      <c r="P54" s="8"/>
      <c r="Q54" s="8"/>
      <c r="R54" s="8"/>
      <c r="S54" s="8"/>
      <c r="T54" s="8"/>
      <c r="U54" s="8"/>
      <c r="V54" s="10"/>
      <c r="W54" s="10"/>
      <c r="X54" s="10"/>
      <c r="Y54" s="10"/>
      <c r="Z54" s="10"/>
      <c r="AA54" s="10"/>
      <c r="AB54" s="10"/>
      <c r="AC54" s="12"/>
      <c r="AD54" s="12"/>
      <c r="AE54" s="12"/>
      <c r="AF54" s="12"/>
      <c r="AG54" s="12"/>
      <c r="AH54" s="12"/>
      <c r="AI54" s="12"/>
    </row>
    <row r="55" spans="1:35" x14ac:dyDescent="0.3">
      <c r="C55" t="s">
        <v>55</v>
      </c>
      <c r="D55">
        <v>11.97</v>
      </c>
      <c r="E55">
        <v>11.957374999999999</v>
      </c>
      <c r="F55">
        <f t="shared" si="0"/>
        <v>-1.2625000000001663E-2</v>
      </c>
      <c r="G55">
        <f t="shared" si="1"/>
        <v>1.2625000000001663E-2</v>
      </c>
      <c r="O55" s="8"/>
      <c r="P55" s="8"/>
      <c r="Q55" s="8"/>
      <c r="R55" s="8"/>
      <c r="S55" s="8"/>
      <c r="T55" s="8"/>
      <c r="U55" s="8"/>
      <c r="V55" s="10"/>
      <c r="W55" s="10"/>
      <c r="X55" s="10"/>
      <c r="Y55" s="10"/>
      <c r="Z55" s="10"/>
      <c r="AA55" s="10"/>
      <c r="AB55" s="10"/>
      <c r="AC55" s="12"/>
      <c r="AD55" s="12"/>
      <c r="AE55" s="12"/>
      <c r="AF55" s="12"/>
      <c r="AG55" s="12"/>
      <c r="AH55" s="12"/>
      <c r="AI55" s="12"/>
    </row>
    <row r="56" spans="1:35" x14ac:dyDescent="0.3">
      <c r="C56" t="s">
        <v>56</v>
      </c>
      <c r="D56">
        <v>8.5500000000000007</v>
      </c>
      <c r="E56">
        <v>8.7338249999999995</v>
      </c>
      <c r="F56">
        <f t="shared" si="0"/>
        <v>0.18382499999999879</v>
      </c>
      <c r="G56">
        <f t="shared" si="1"/>
        <v>0.18382499999999879</v>
      </c>
      <c r="O56" s="8"/>
      <c r="P56" s="8"/>
      <c r="Q56" s="8"/>
      <c r="R56" s="8"/>
      <c r="S56" s="8"/>
      <c r="T56" s="8"/>
      <c r="U56" s="8"/>
      <c r="V56" s="10"/>
      <c r="W56" s="10"/>
      <c r="X56" s="10"/>
      <c r="Y56" s="10"/>
      <c r="Z56" s="10"/>
      <c r="AA56" s="10"/>
      <c r="AB56" s="10"/>
      <c r="AC56" s="12"/>
      <c r="AD56" s="12"/>
      <c r="AE56" s="12"/>
      <c r="AF56" s="12"/>
      <c r="AG56" s="12"/>
      <c r="AH56" s="12"/>
      <c r="AI56" s="12"/>
    </row>
    <row r="57" spans="1:35" x14ac:dyDescent="0.3">
      <c r="C57" t="s">
        <v>57</v>
      </c>
      <c r="D57">
        <v>0.75</v>
      </c>
      <c r="E57">
        <v>0.77332500000000004</v>
      </c>
      <c r="F57">
        <f t="shared" si="0"/>
        <v>2.332500000000004E-2</v>
      </c>
      <c r="G57">
        <f t="shared" si="1"/>
        <v>2.332500000000004E-2</v>
      </c>
      <c r="O57" s="8"/>
      <c r="P57" s="8"/>
      <c r="Q57" s="8"/>
      <c r="R57" s="8"/>
      <c r="S57" s="8"/>
      <c r="T57" s="8"/>
      <c r="U57" s="8"/>
      <c r="V57" s="10"/>
      <c r="W57" s="10"/>
      <c r="X57" s="10"/>
      <c r="Y57" s="10"/>
      <c r="Z57" s="10"/>
      <c r="AA57" s="10"/>
      <c r="AB57" s="10"/>
      <c r="AC57" s="12"/>
      <c r="AD57" s="12"/>
      <c r="AE57" s="12"/>
      <c r="AF57" s="12"/>
      <c r="AG57" s="12"/>
      <c r="AH57" s="12"/>
      <c r="AI57" s="12"/>
    </row>
    <row r="58" spans="1:35" x14ac:dyDescent="0.3">
      <c r="B58" t="s">
        <v>35</v>
      </c>
      <c r="C58" t="s">
        <v>58</v>
      </c>
      <c r="D58">
        <v>3.1</v>
      </c>
      <c r="E58">
        <v>3.2131499999999997</v>
      </c>
      <c r="F58">
        <f t="shared" si="0"/>
        <v>0.11314999999999964</v>
      </c>
      <c r="G58">
        <f t="shared" si="1"/>
        <v>0.11314999999999964</v>
      </c>
      <c r="H58">
        <f>AVERAGE(F58:F61)</f>
        <v>5.8687500000000337E-3</v>
      </c>
      <c r="I58">
        <f>AVERAGE(G58:G61)</f>
        <v>6.9193750000000775E-2</v>
      </c>
      <c r="J58">
        <f>H58/SUM(D58:D61)</f>
        <v>1.9523453093812487E-4</v>
      </c>
      <c r="K58">
        <f>I58/SUM(D58:D61)</f>
        <v>2.3018546240851888E-3</v>
      </c>
      <c r="L58">
        <f>_xlfn.STDEV.S(F58:F61)</f>
        <v>9.9732478358774732E-2</v>
      </c>
      <c r="M58" cm="1">
        <f t="array" ref="M58">SQRT(AVERAGE(F58:F61^2))</f>
        <v>8.6570015919197468E-2</v>
      </c>
      <c r="N58" cm="1">
        <f t="array" ref="N58">SQRT(AVERAGE((F58:F61/D58:D61)^2))</f>
        <v>1.882338602703322E-2</v>
      </c>
      <c r="O58" s="4">
        <v>5.8687500000000337E-3</v>
      </c>
      <c r="P58" s="4">
        <v>6.9193750000000775E-2</v>
      </c>
      <c r="Q58" s="4">
        <v>1.9523453093812487E-4</v>
      </c>
      <c r="R58" s="4">
        <v>2.3018546240851888E-3</v>
      </c>
      <c r="S58" s="4">
        <v>9.9732478358774732E-2</v>
      </c>
      <c r="T58" s="4">
        <v>8.6570015919197468E-2</v>
      </c>
      <c r="U58" s="4">
        <v>1.882338602703322E-2</v>
      </c>
      <c r="V58" s="10"/>
      <c r="W58" s="10"/>
      <c r="X58" s="10"/>
      <c r="Y58" s="10"/>
      <c r="Z58" s="10"/>
      <c r="AA58" s="10"/>
      <c r="AB58" s="10"/>
      <c r="AC58" s="12"/>
      <c r="AD58" s="12"/>
      <c r="AE58" s="12"/>
      <c r="AF58" s="12"/>
      <c r="AG58" s="12"/>
      <c r="AH58" s="12"/>
      <c r="AI58" s="12"/>
    </row>
    <row r="59" spans="1:35" x14ac:dyDescent="0.3">
      <c r="C59" t="s">
        <v>59</v>
      </c>
      <c r="D59">
        <v>15.16</v>
      </c>
      <c r="E59">
        <v>15.033349999999999</v>
      </c>
      <c r="F59">
        <f t="shared" si="0"/>
        <v>-0.12665000000000148</v>
      </c>
      <c r="G59">
        <f t="shared" si="1"/>
        <v>0.12665000000000148</v>
      </c>
      <c r="O59" s="4"/>
      <c r="P59" s="4"/>
      <c r="Q59" s="4"/>
      <c r="R59" s="4"/>
      <c r="S59" s="4"/>
      <c r="T59" s="4"/>
      <c r="U59" s="4"/>
      <c r="V59" s="10"/>
      <c r="W59" s="10"/>
      <c r="X59" s="10"/>
      <c r="Y59" s="10"/>
      <c r="Z59" s="10"/>
      <c r="AA59" s="10"/>
      <c r="AB59" s="10"/>
      <c r="AC59" s="12"/>
      <c r="AD59" s="12"/>
      <c r="AE59" s="12"/>
      <c r="AF59" s="12"/>
      <c r="AG59" s="12"/>
      <c r="AH59" s="12"/>
      <c r="AI59" s="12"/>
    </row>
    <row r="60" spans="1:35" x14ac:dyDescent="0.3">
      <c r="C60" t="s">
        <v>60</v>
      </c>
      <c r="D60">
        <v>1.68</v>
      </c>
      <c r="E60">
        <v>1.6834750000000001</v>
      </c>
      <c r="F60">
        <f t="shared" si="0"/>
        <v>3.4750000000001169E-3</v>
      </c>
      <c r="G60">
        <f t="shared" si="1"/>
        <v>3.4750000000001169E-3</v>
      </c>
      <c r="O60" s="4"/>
      <c r="P60" s="4"/>
      <c r="Q60" s="4"/>
      <c r="R60" s="4"/>
      <c r="S60" s="4"/>
      <c r="T60" s="4"/>
      <c r="U60" s="4"/>
      <c r="V60" s="10"/>
      <c r="W60" s="10"/>
      <c r="X60" s="10"/>
      <c r="Y60" s="10"/>
      <c r="Z60" s="10"/>
      <c r="AA60" s="10"/>
      <c r="AB60" s="10"/>
      <c r="AC60" s="12"/>
      <c r="AD60" s="12"/>
      <c r="AE60" s="12"/>
      <c r="AF60" s="12"/>
      <c r="AG60" s="12"/>
      <c r="AH60" s="12"/>
      <c r="AI60" s="12"/>
    </row>
    <row r="61" spans="1:35" x14ac:dyDescent="0.3">
      <c r="C61" t="s">
        <v>61</v>
      </c>
      <c r="D61">
        <v>10.119999999999999</v>
      </c>
      <c r="E61">
        <v>10.153500000000001</v>
      </c>
      <c r="F61">
        <f t="shared" si="0"/>
        <v>3.3500000000001862E-2</v>
      </c>
      <c r="G61">
        <f t="shared" si="1"/>
        <v>3.3500000000001862E-2</v>
      </c>
      <c r="O61" s="4"/>
      <c r="P61" s="4"/>
      <c r="Q61" s="4"/>
      <c r="R61" s="4"/>
      <c r="S61" s="4"/>
      <c r="T61" s="4"/>
      <c r="U61" s="4"/>
      <c r="V61" s="10"/>
      <c r="W61" s="10"/>
      <c r="X61" s="10"/>
      <c r="Y61" s="10"/>
      <c r="Z61" s="10"/>
      <c r="AA61" s="10"/>
      <c r="AB61" s="10"/>
      <c r="AC61" s="12"/>
      <c r="AD61" s="12"/>
      <c r="AE61" s="12"/>
      <c r="AF61" s="12"/>
      <c r="AG61" s="12"/>
      <c r="AH61" s="12"/>
      <c r="AI61" s="12"/>
    </row>
    <row r="62" spans="1:35" x14ac:dyDescent="0.3">
      <c r="B62" t="s">
        <v>40</v>
      </c>
      <c r="C62" t="s">
        <v>62</v>
      </c>
      <c r="D62">
        <v>2.5</v>
      </c>
      <c r="E62">
        <v>2.4455249999999999</v>
      </c>
      <c r="F62">
        <f t="shared" si="0"/>
        <v>-5.4475000000000051E-2</v>
      </c>
      <c r="G62">
        <f t="shared" si="1"/>
        <v>5.4475000000000051E-2</v>
      </c>
      <c r="H62">
        <f>AVERAGE(F62:F65)</f>
        <v>-2.081249999999979E-3</v>
      </c>
      <c r="I62">
        <f>AVERAGE(G62:G65)</f>
        <v>2.8106250000000055E-2</v>
      </c>
      <c r="J62">
        <f>H62/SUM(D62:D65)</f>
        <v>-3.087908011869405E-4</v>
      </c>
      <c r="K62">
        <f>I62/SUM(D62:D65)</f>
        <v>4.1700667655786431E-3</v>
      </c>
      <c r="L62">
        <f>_xlfn.STDEV.S(F62:F65)</f>
        <v>3.8379640734596147E-2</v>
      </c>
      <c r="M62" cm="1">
        <f t="array" ref="M62">SQRT(AVERAGE(F62:F65^2))</f>
        <v>3.3302841001181929E-2</v>
      </c>
      <c r="N62" cm="1">
        <f t="array" ref="N62">SQRT(AVERAGE((F62:F65/D62:D65)^2))</f>
        <v>1.6241164385913252E-2</v>
      </c>
      <c r="O62" s="9">
        <v>-2.081249999999979E-3</v>
      </c>
      <c r="P62" s="9">
        <v>2.8106250000000055E-2</v>
      </c>
      <c r="Q62" s="9">
        <v>-3.087908011869405E-4</v>
      </c>
      <c r="R62" s="9">
        <v>4.1700667655786431E-3</v>
      </c>
      <c r="S62" s="9">
        <v>3.8379640734596147E-2</v>
      </c>
      <c r="T62" s="9">
        <v>3.3302841001181929E-2</v>
      </c>
      <c r="U62" s="9">
        <v>1.6241164385913252E-2</v>
      </c>
      <c r="V62" s="9">
        <v>-2.081249999999979E-3</v>
      </c>
      <c r="W62" s="9">
        <v>2.8106250000000055E-2</v>
      </c>
      <c r="X62" s="9">
        <v>-3.087908011869405E-4</v>
      </c>
      <c r="Y62" s="9">
        <v>4.1700667655786431E-3</v>
      </c>
      <c r="Z62" s="9">
        <v>3.8379640734596147E-2</v>
      </c>
      <c r="AA62" s="9">
        <v>3.3302841001181929E-2</v>
      </c>
      <c r="AB62" s="9">
        <v>1.6241164385913252E-2</v>
      </c>
      <c r="AC62" s="12"/>
      <c r="AD62" s="12"/>
      <c r="AE62" s="12"/>
      <c r="AF62" s="12"/>
      <c r="AG62" s="12"/>
      <c r="AH62" s="12"/>
      <c r="AI62" s="12"/>
    </row>
    <row r="63" spans="1:35" x14ac:dyDescent="0.3">
      <c r="C63" t="s">
        <v>63</v>
      </c>
      <c r="D63">
        <v>1.99</v>
      </c>
      <c r="E63">
        <v>2.009725</v>
      </c>
      <c r="F63">
        <f t="shared" si="0"/>
        <v>1.9724999999999993E-2</v>
      </c>
      <c r="G63">
        <f t="shared" si="1"/>
        <v>1.9724999999999993E-2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12"/>
      <c r="AD63" s="12"/>
      <c r="AE63" s="12"/>
      <c r="AF63" s="12"/>
      <c r="AG63" s="12"/>
      <c r="AH63" s="12"/>
      <c r="AI63" s="12"/>
    </row>
    <row r="64" spans="1:35" x14ac:dyDescent="0.3">
      <c r="C64" t="s">
        <v>64</v>
      </c>
      <c r="D64">
        <v>1.64</v>
      </c>
      <c r="E64">
        <v>1.6723250000000001</v>
      </c>
      <c r="F64">
        <f t="shared" si="0"/>
        <v>3.2325000000000159E-2</v>
      </c>
      <c r="G64">
        <f t="shared" si="1"/>
        <v>3.2325000000000159E-2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2"/>
      <c r="AD64" s="12"/>
      <c r="AE64" s="12"/>
      <c r="AF64" s="12"/>
      <c r="AG64" s="12"/>
      <c r="AH64" s="12"/>
      <c r="AI64" s="12"/>
    </row>
    <row r="65" spans="3:35" x14ac:dyDescent="0.3">
      <c r="C65" t="s">
        <v>65</v>
      </c>
      <c r="D65">
        <v>0.61</v>
      </c>
      <c r="E65">
        <v>0.60409999999999997</v>
      </c>
      <c r="F65">
        <f t="shared" si="0"/>
        <v>-5.9000000000000163E-3</v>
      </c>
      <c r="G65">
        <f t="shared" si="1"/>
        <v>5.9000000000000163E-3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2"/>
      <c r="AD65" s="12"/>
      <c r="AE65" s="12"/>
      <c r="AF65" s="12"/>
      <c r="AG65" s="12"/>
      <c r="AH65" s="12"/>
      <c r="AI65" s="12"/>
    </row>
    <row r="66" spans="3:35" x14ac:dyDescent="0.3">
      <c r="AC66" s="11"/>
      <c r="AD66" s="11"/>
      <c r="AE66" s="11"/>
      <c r="AF66" s="11"/>
      <c r="AG66" s="11"/>
      <c r="AH66" s="11"/>
      <c r="AI66" s="11"/>
    </row>
    <row r="67" spans="3:35" x14ac:dyDescent="0.3">
      <c r="AC67" s="11"/>
      <c r="AD67" s="11"/>
      <c r="AE67" s="11"/>
      <c r="AF67" s="11"/>
      <c r="AG67" s="11"/>
      <c r="AH67" s="11"/>
      <c r="AI67" s="11"/>
    </row>
    <row r="68" spans="3:35" x14ac:dyDescent="0.3">
      <c r="AC68" s="11"/>
      <c r="AD68" s="11"/>
      <c r="AE68" s="11"/>
      <c r="AF68" s="11"/>
      <c r="AG68" s="11"/>
      <c r="AH68" s="11"/>
      <c r="AI6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5C43D-78A6-4FDA-AD67-2E8CEA4DF2C7}">
  <dimension ref="A1:K40"/>
  <sheetViews>
    <sheetView topLeftCell="A9" zoomScale="85" zoomScaleNormal="85" workbookViewId="0">
      <selection activeCell="M47" sqref="M47"/>
    </sheetView>
  </sheetViews>
  <sheetFormatPr defaultRowHeight="14.4" x14ac:dyDescent="0.3"/>
  <cols>
    <col min="1" max="1" width="28" bestFit="1" customWidth="1"/>
    <col min="2" max="3" width="12" bestFit="1" customWidth="1"/>
    <col min="4" max="4" width="18" bestFit="1" customWidth="1"/>
    <col min="5" max="5" width="20.21875" bestFit="1" customWidth="1"/>
    <col min="6" max="7" width="28" bestFit="1" customWidth="1"/>
    <col min="8" max="8" width="12.6640625" bestFit="1" customWidth="1"/>
    <col min="9" max="10" width="12" bestFit="1" customWidth="1"/>
    <col min="11" max="11" width="12.6640625" bestFit="1" customWidth="1"/>
    <col min="12" max="13" width="12.44140625" bestFit="1" customWidth="1"/>
    <col min="14" max="14" width="13" bestFit="1" customWidth="1"/>
    <col min="15" max="16" width="12.44140625" bestFit="1" customWidth="1"/>
    <col min="17" max="17" width="13" bestFit="1" customWidth="1"/>
    <col min="21" max="21" width="44.6640625" bestFit="1" customWidth="1"/>
  </cols>
  <sheetData>
    <row r="1" spans="1:9" x14ac:dyDescent="0.3">
      <c r="A1" t="s">
        <v>0</v>
      </c>
      <c r="B1" t="s">
        <v>109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 spans="1:9" x14ac:dyDescent="0.3">
      <c r="A2" t="s">
        <v>53</v>
      </c>
      <c r="B2" s="13" t="s">
        <v>110</v>
      </c>
      <c r="C2" s="13">
        <v>1.1787499999999271E-2</v>
      </c>
      <c r="D2" s="13">
        <v>1.7612499999999268E-2</v>
      </c>
      <c r="E2" s="13">
        <v>5.4195402298847222E-4</v>
      </c>
      <c r="F2" s="13">
        <v>8.097701149424951E-4</v>
      </c>
      <c r="G2" s="13">
        <v>1.9568581323130427E-2</v>
      </c>
      <c r="H2" s="13">
        <v>2.0643211656618733E-2</v>
      </c>
      <c r="I2" s="13">
        <v>1.2462993226172836E-2</v>
      </c>
    </row>
    <row r="3" spans="1:9" x14ac:dyDescent="0.3">
      <c r="B3" s="8" t="s">
        <v>111</v>
      </c>
      <c r="C3" s="8">
        <v>4.6699999999999436E-2</v>
      </c>
      <c r="D3" s="8">
        <v>5.2149999999999835E-2</v>
      </c>
      <c r="E3" s="8">
        <v>2.1471264367815832E-3</v>
      </c>
      <c r="F3" s="8">
        <v>2.3977011494252798E-3</v>
      </c>
      <c r="G3" s="8">
        <v>9.1744518455690635E-2</v>
      </c>
      <c r="H3" s="8">
        <v>9.216117675029907E-2</v>
      </c>
      <c r="I3" s="8">
        <v>1.5319978453183974E-2</v>
      </c>
    </row>
    <row r="4" spans="1:9" x14ac:dyDescent="0.3">
      <c r="B4" s="4" t="s">
        <v>112</v>
      </c>
      <c r="C4" s="4">
        <v>2.7662500000000312E-2</v>
      </c>
      <c r="D4" s="4">
        <v>3.4712500000000757E-2</v>
      </c>
      <c r="E4" s="4">
        <v>9.2024284763806753E-4</v>
      </c>
      <c r="F4" s="4">
        <v>1.1547737857618347E-3</v>
      </c>
      <c r="G4" s="4">
        <v>3.2145797418429163E-2</v>
      </c>
      <c r="H4" s="4">
        <v>3.9245740214703971E-2</v>
      </c>
      <c r="I4" s="4">
        <v>1.9733952658747521E-2</v>
      </c>
    </row>
    <row r="5" spans="1:9" x14ac:dyDescent="0.3">
      <c r="B5" s="9" t="s">
        <v>113</v>
      </c>
      <c r="C5" s="9">
        <v>-8.874999999999883E-3</v>
      </c>
      <c r="D5" s="9">
        <v>1.6062500000000063E-2</v>
      </c>
      <c r="E5" s="9">
        <v>-1.3167655786349975E-3</v>
      </c>
      <c r="F5" s="9">
        <v>2.3831602373887333E-3</v>
      </c>
      <c r="G5" s="9">
        <v>2.7574422024767821E-2</v>
      </c>
      <c r="H5" s="9">
        <v>2.5476012001488742E-2</v>
      </c>
      <c r="I5" s="9">
        <v>1.277003018423018E-2</v>
      </c>
    </row>
    <row r="6" spans="1:9" x14ac:dyDescent="0.3">
      <c r="A6" t="s">
        <v>66</v>
      </c>
      <c r="B6" s="13" t="s">
        <v>110</v>
      </c>
      <c r="C6" s="13">
        <v>4.1199999999999654E-2</v>
      </c>
      <c r="D6" s="13">
        <v>4.164999999999966E-2</v>
      </c>
      <c r="E6" s="13">
        <v>1.8942528735632024E-3</v>
      </c>
      <c r="F6" s="13">
        <v>1.9149425287356165E-3</v>
      </c>
      <c r="G6" s="13">
        <v>5.6029512312709299E-2</v>
      </c>
      <c r="H6" s="13">
        <v>6.3654691009382841E-2</v>
      </c>
      <c r="I6" s="13">
        <v>1.2724621256543316E-2</v>
      </c>
    </row>
    <row r="7" spans="1:9" x14ac:dyDescent="0.3">
      <c r="B7" s="8" t="s">
        <v>111</v>
      </c>
      <c r="C7" s="8">
        <v>2.7094374999999823E-2</v>
      </c>
      <c r="D7" s="8">
        <v>2.7094374999999823E-2</v>
      </c>
      <c r="E7" s="8">
        <v>1.2457183908045897E-3</v>
      </c>
      <c r="F7" s="8">
        <v>1.2457183908045897E-3</v>
      </c>
      <c r="G7" s="8">
        <v>2.0956134779482303E-2</v>
      </c>
      <c r="H7" s="8">
        <v>3.2610962042118385E-2</v>
      </c>
      <c r="I7" s="8">
        <v>1.1968450001294484E-2</v>
      </c>
    </row>
    <row r="8" spans="1:9" x14ac:dyDescent="0.3">
      <c r="B8" s="4" t="s">
        <v>112</v>
      </c>
      <c r="C8" s="4">
        <v>5.1418750000000069E-2</v>
      </c>
      <c r="D8" s="4">
        <v>5.1418750000000069E-2</v>
      </c>
      <c r="E8" s="4">
        <v>1.7105372588157041E-3</v>
      </c>
      <c r="F8" s="4">
        <v>1.7105372588157041E-3</v>
      </c>
      <c r="G8" s="4">
        <v>5.5876513309111871E-2</v>
      </c>
      <c r="H8" s="4">
        <v>7.0608260184273228E-2</v>
      </c>
      <c r="I8" s="4">
        <v>1.5117349580271012E-2</v>
      </c>
    </row>
    <row r="9" spans="1:9" x14ac:dyDescent="0.3">
      <c r="B9" s="9" t="s">
        <v>113</v>
      </c>
      <c r="C9" s="9">
        <v>4.2906249999999924E-2</v>
      </c>
      <c r="D9" s="9">
        <v>7.4618749999999956E-2</v>
      </c>
      <c r="E9" s="9">
        <v>6.3659124629080006E-3</v>
      </c>
      <c r="F9" s="9">
        <v>1.1071031157270022E-2</v>
      </c>
      <c r="G9" s="9">
        <v>8.3358716238415398E-2</v>
      </c>
      <c r="H9" s="9">
        <v>8.3978884064686093E-2</v>
      </c>
      <c r="I9" s="9">
        <v>4.3611905928216656E-2</v>
      </c>
    </row>
    <row r="10" spans="1:9" x14ac:dyDescent="0.3">
      <c r="A10" t="s">
        <v>67</v>
      </c>
      <c r="B10" s="13" t="s">
        <v>110</v>
      </c>
      <c r="C10" s="13">
        <v>4.4580624999999596E-2</v>
      </c>
      <c r="D10" s="13">
        <v>5.0755624999999582E-2</v>
      </c>
      <c r="E10" s="13">
        <v>2.0496839080459584E-3</v>
      </c>
      <c r="F10" s="13">
        <v>2.3335919540229694E-3</v>
      </c>
      <c r="G10" s="13">
        <v>7.3403151623272517E-2</v>
      </c>
      <c r="H10" s="13">
        <v>7.76430880797669E-2</v>
      </c>
      <c r="I10" s="13">
        <v>1.7841671825177423E-2</v>
      </c>
    </row>
    <row r="11" spans="1:9" x14ac:dyDescent="0.3">
      <c r="B11" s="8" t="s">
        <v>111</v>
      </c>
      <c r="C11" s="8">
        <v>2.8524999999999912E-2</v>
      </c>
      <c r="D11" s="8">
        <v>3.2874999999999877E-2</v>
      </c>
      <c r="E11" s="8">
        <v>1.3114942528735592E-3</v>
      </c>
      <c r="F11" s="8">
        <v>1.5114942528735575E-3</v>
      </c>
      <c r="G11" s="8">
        <v>2.7828679750693489E-2</v>
      </c>
      <c r="H11" s="8">
        <v>3.7343033988951516E-2</v>
      </c>
      <c r="I11" s="8">
        <v>2.5034532905009243E-2</v>
      </c>
    </row>
    <row r="12" spans="1:9" x14ac:dyDescent="0.3">
      <c r="B12" s="4" t="s">
        <v>112</v>
      </c>
      <c r="C12" s="4">
        <v>4.13062500000001E-2</v>
      </c>
      <c r="D12" s="4">
        <v>7.3881249999999676E-2</v>
      </c>
      <c r="E12" s="4">
        <v>1.3741267465069893E-3</v>
      </c>
      <c r="F12" s="4">
        <v>2.4577927478376472E-3</v>
      </c>
      <c r="G12" s="4">
        <v>8.1677828425160443E-2</v>
      </c>
      <c r="H12" s="4">
        <v>8.1912496184953179E-2</v>
      </c>
      <c r="I12" s="4">
        <v>3.7952967396433043E-2</v>
      </c>
    </row>
    <row r="13" spans="1:9" x14ac:dyDescent="0.3">
      <c r="B13" s="9" t="s">
        <v>113</v>
      </c>
      <c r="C13" s="9">
        <v>5.5620625000000118E-2</v>
      </c>
      <c r="D13" s="9">
        <v>6.2795625000000049E-2</v>
      </c>
      <c r="E13" s="9">
        <v>8.2523182492581781E-3</v>
      </c>
      <c r="F13" s="9">
        <v>9.3168583086053487E-3</v>
      </c>
      <c r="G13" s="9">
        <v>8.7026278559385911E-2</v>
      </c>
      <c r="H13" s="9">
        <v>9.3668745029025086E-2</v>
      </c>
      <c r="I13" s="9">
        <v>4.215532187692396E-2</v>
      </c>
    </row>
    <row r="14" spans="1:9" x14ac:dyDescent="0.3">
      <c r="A14" t="s">
        <v>47</v>
      </c>
      <c r="B14" s="13" t="s">
        <v>110</v>
      </c>
      <c r="C14" s="13">
        <v>-1.3856250000000681E-2</v>
      </c>
      <c r="D14" s="13">
        <v>6.6593749999999896E-2</v>
      </c>
      <c r="E14" s="13">
        <v>-6.3706896551727265E-4</v>
      </c>
      <c r="F14" s="13">
        <v>3.0617816091953977E-3</v>
      </c>
      <c r="G14" s="13">
        <v>8.8675077236597927E-2</v>
      </c>
      <c r="H14" s="13">
        <v>7.8034913059796346E-2</v>
      </c>
      <c r="I14" s="13">
        <v>5.6409772630769212E-2</v>
      </c>
    </row>
    <row r="15" spans="1:9" x14ac:dyDescent="0.3">
      <c r="B15" s="8" t="s">
        <v>111</v>
      </c>
      <c r="C15" s="8">
        <v>6.38124999999993E-2</v>
      </c>
      <c r="D15" s="8">
        <v>7.0125000000000132E-2</v>
      </c>
      <c r="E15" s="8">
        <v>2.9339080459769794E-3</v>
      </c>
      <c r="F15" s="8">
        <v>3.2241379310344888E-3</v>
      </c>
      <c r="G15" s="8">
        <v>8.5429233628385795E-2</v>
      </c>
      <c r="H15" s="8">
        <v>9.7701845555751413E-2</v>
      </c>
      <c r="I15" s="8">
        <v>6.6021697114914416E-2</v>
      </c>
    </row>
    <row r="16" spans="1:9" x14ac:dyDescent="0.3">
      <c r="B16" s="4" t="s">
        <v>112</v>
      </c>
      <c r="C16" s="4">
        <v>5.8687500000000337E-3</v>
      </c>
      <c r="D16" s="4">
        <v>6.9193750000000775E-2</v>
      </c>
      <c r="E16" s="4">
        <v>1.9523453093812487E-4</v>
      </c>
      <c r="F16" s="4">
        <v>2.3018546240851888E-3</v>
      </c>
      <c r="G16" s="4">
        <v>9.9732478358774732E-2</v>
      </c>
      <c r="H16" s="4">
        <v>8.6570015919197468E-2</v>
      </c>
      <c r="I16" s="4">
        <v>1.882338602703322E-2</v>
      </c>
    </row>
    <row r="17" spans="1:11" x14ac:dyDescent="0.3">
      <c r="B17" s="9" t="s">
        <v>113</v>
      </c>
      <c r="C17" s="9">
        <v>-2.081249999999979E-3</v>
      </c>
      <c r="D17" s="9">
        <v>2.8106250000000055E-2</v>
      </c>
      <c r="E17" s="9">
        <v>-3.087908011869405E-4</v>
      </c>
      <c r="F17" s="9">
        <v>4.1700667655786431E-3</v>
      </c>
      <c r="G17" s="9">
        <v>3.8379640734596147E-2</v>
      </c>
      <c r="H17" s="9">
        <v>3.3302841001181929E-2</v>
      </c>
      <c r="I17" s="9">
        <v>1.6241164385913252E-2</v>
      </c>
    </row>
    <row r="21" spans="1:11" x14ac:dyDescent="0.3">
      <c r="A21" s="14" t="s">
        <v>114</v>
      </c>
      <c r="G21" s="14" t="s">
        <v>116</v>
      </c>
    </row>
    <row r="22" spans="1:11" x14ac:dyDescent="0.3">
      <c r="B22" s="15" t="s">
        <v>110</v>
      </c>
      <c r="C22" s="15" t="s">
        <v>111</v>
      </c>
      <c r="D22" s="15" t="s">
        <v>112</v>
      </c>
      <c r="E22" s="15" t="s">
        <v>113</v>
      </c>
      <c r="H22" s="15" t="s">
        <v>110</v>
      </c>
      <c r="I22" s="15" t="s">
        <v>111</v>
      </c>
      <c r="J22" s="15" t="s">
        <v>112</v>
      </c>
      <c r="K22" s="15" t="s">
        <v>113</v>
      </c>
    </row>
    <row r="23" spans="1:11" x14ac:dyDescent="0.3">
      <c r="A23" s="9" t="s">
        <v>98</v>
      </c>
      <c r="B23">
        <v>1.18E-2</v>
      </c>
      <c r="C23">
        <v>4.6699999999999998E-2</v>
      </c>
      <c r="D23">
        <v>2.7699999999999999E-2</v>
      </c>
      <c r="E23">
        <v>-8.8999999999999999E-3</v>
      </c>
      <c r="G23" s="9" t="s">
        <v>98</v>
      </c>
      <c r="H23">
        <v>4.4600000000000001E-2</v>
      </c>
      <c r="I23">
        <v>2.8500000000000001E-2</v>
      </c>
      <c r="J23">
        <v>4.1300000000000003E-2</v>
      </c>
      <c r="K23">
        <v>5.5599999999999997E-2</v>
      </c>
    </row>
    <row r="24" spans="1:11" x14ac:dyDescent="0.3">
      <c r="A24" s="9" t="s">
        <v>99</v>
      </c>
      <c r="B24">
        <v>1.7600000000000001E-2</v>
      </c>
      <c r="C24">
        <v>5.21E-2</v>
      </c>
      <c r="D24">
        <v>3.4700000000000002E-2</v>
      </c>
      <c r="E24">
        <v>1.61E-2</v>
      </c>
      <c r="G24" s="9" t="s">
        <v>99</v>
      </c>
      <c r="H24">
        <v>5.0799999999999998E-2</v>
      </c>
      <c r="I24">
        <v>3.2899999999999999E-2</v>
      </c>
      <c r="J24">
        <v>7.3899999999999993E-2</v>
      </c>
      <c r="K24">
        <v>6.2799999999999995E-2</v>
      </c>
    </row>
    <row r="25" spans="1:11" x14ac:dyDescent="0.3">
      <c r="A25" s="9" t="s">
        <v>100</v>
      </c>
      <c r="B25">
        <v>5.0000000000000001E-4</v>
      </c>
      <c r="C25">
        <v>2.0999999999999999E-3</v>
      </c>
      <c r="D25">
        <v>8.9999999999999998E-4</v>
      </c>
      <c r="E25">
        <v>-1.2999999999999999E-3</v>
      </c>
      <c r="G25" s="9" t="s">
        <v>100</v>
      </c>
      <c r="H25">
        <v>2E-3</v>
      </c>
      <c r="I25">
        <v>1.2999999999999999E-3</v>
      </c>
      <c r="J25">
        <v>1.4E-3</v>
      </c>
      <c r="K25">
        <v>8.3000000000000001E-3</v>
      </c>
    </row>
    <row r="26" spans="1:11" x14ac:dyDescent="0.3">
      <c r="A26" s="9" t="s">
        <v>101</v>
      </c>
      <c r="B26">
        <v>8.0000000000000004E-4</v>
      </c>
      <c r="C26">
        <v>2.3999999999999998E-3</v>
      </c>
      <c r="D26">
        <v>1.1999999999999999E-3</v>
      </c>
      <c r="E26">
        <v>2.3999999999999998E-3</v>
      </c>
      <c r="G26" s="9" t="s">
        <v>101</v>
      </c>
      <c r="H26">
        <v>2.3E-3</v>
      </c>
      <c r="I26">
        <v>1.5E-3</v>
      </c>
      <c r="J26">
        <v>2.5000000000000001E-3</v>
      </c>
      <c r="K26">
        <v>9.2999999999999992E-3</v>
      </c>
    </row>
    <row r="27" spans="1:11" x14ac:dyDescent="0.3">
      <c r="A27" s="9" t="s">
        <v>102</v>
      </c>
      <c r="B27">
        <v>1.9599999999999999E-2</v>
      </c>
      <c r="C27">
        <v>9.1700000000000004E-2</v>
      </c>
      <c r="D27">
        <v>3.2099999999999997E-2</v>
      </c>
      <c r="E27">
        <v>2.76E-2</v>
      </c>
      <c r="G27" s="9" t="s">
        <v>102</v>
      </c>
      <c r="H27">
        <v>7.3400000000000007E-2</v>
      </c>
      <c r="I27">
        <v>2.7799999999999998E-2</v>
      </c>
      <c r="J27">
        <v>8.1699999999999995E-2</v>
      </c>
      <c r="K27">
        <v>8.6999999999999994E-2</v>
      </c>
    </row>
    <row r="28" spans="1:11" x14ac:dyDescent="0.3">
      <c r="A28" s="9" t="s">
        <v>103</v>
      </c>
      <c r="B28">
        <v>2.06E-2</v>
      </c>
      <c r="C28">
        <v>9.2200000000000004E-2</v>
      </c>
      <c r="D28">
        <v>3.9199999999999999E-2</v>
      </c>
      <c r="E28">
        <v>2.5499999999999998E-2</v>
      </c>
      <c r="G28" s="9" t="s">
        <v>103</v>
      </c>
      <c r="H28">
        <v>7.7600000000000002E-2</v>
      </c>
      <c r="I28">
        <v>3.73E-2</v>
      </c>
      <c r="J28">
        <v>8.1900000000000001E-2</v>
      </c>
      <c r="K28">
        <v>9.3700000000000006E-2</v>
      </c>
    </row>
    <row r="29" spans="1:11" x14ac:dyDescent="0.3">
      <c r="A29" s="9" t="s">
        <v>104</v>
      </c>
      <c r="B29">
        <v>1.2500000000000001E-2</v>
      </c>
      <c r="C29">
        <v>1.5299999999999999E-2</v>
      </c>
      <c r="D29">
        <v>1.9699999999999999E-2</v>
      </c>
      <c r="E29">
        <v>1.2800000000000001E-2</v>
      </c>
      <c r="G29" s="9" t="s">
        <v>104</v>
      </c>
      <c r="H29">
        <v>1.78E-2</v>
      </c>
      <c r="I29">
        <v>2.5000000000000001E-2</v>
      </c>
      <c r="J29">
        <v>3.7999999999999999E-2</v>
      </c>
      <c r="K29">
        <v>4.2200000000000001E-2</v>
      </c>
    </row>
    <row r="31" spans="1:11" x14ac:dyDescent="0.3">
      <c r="G31" s="14" t="s">
        <v>117</v>
      </c>
    </row>
    <row r="32" spans="1:11" x14ac:dyDescent="0.3">
      <c r="A32" s="14" t="s">
        <v>115</v>
      </c>
      <c r="H32" s="15" t="s">
        <v>110</v>
      </c>
      <c r="I32" s="15" t="s">
        <v>111</v>
      </c>
      <c r="J32" s="15" t="s">
        <v>112</v>
      </c>
      <c r="K32" s="15" t="s">
        <v>113</v>
      </c>
    </row>
    <row r="33" spans="1:11" x14ac:dyDescent="0.3">
      <c r="B33" s="15" t="s">
        <v>110</v>
      </c>
      <c r="C33" s="15" t="s">
        <v>111</v>
      </c>
      <c r="D33" s="15" t="s">
        <v>112</v>
      </c>
      <c r="E33" s="15" t="s">
        <v>113</v>
      </c>
      <c r="G33" s="9" t="s">
        <v>98</v>
      </c>
      <c r="H33">
        <v>-1.3899999999999999E-2</v>
      </c>
      <c r="I33">
        <v>6.3799999999999996E-2</v>
      </c>
      <c r="J33">
        <v>5.8999999999999999E-3</v>
      </c>
      <c r="K33">
        <v>-2.0999999999999999E-3</v>
      </c>
    </row>
    <row r="34" spans="1:11" x14ac:dyDescent="0.3">
      <c r="A34" s="9" t="s">
        <v>98</v>
      </c>
      <c r="B34">
        <v>4.1200000000000001E-2</v>
      </c>
      <c r="C34">
        <v>2.7099999999999999E-2</v>
      </c>
      <c r="D34">
        <v>5.1400000000000001E-2</v>
      </c>
      <c r="E34">
        <v>4.2900000000000001E-2</v>
      </c>
      <c r="G34" s="9" t="s">
        <v>99</v>
      </c>
      <c r="H34">
        <v>6.6600000000000006E-2</v>
      </c>
      <c r="I34">
        <v>7.0099999999999996E-2</v>
      </c>
      <c r="J34">
        <v>6.9199999999999998E-2</v>
      </c>
      <c r="K34">
        <v>2.81E-2</v>
      </c>
    </row>
    <row r="35" spans="1:11" x14ac:dyDescent="0.3">
      <c r="A35" s="9" t="s">
        <v>99</v>
      </c>
      <c r="B35">
        <v>4.1599999999999998E-2</v>
      </c>
      <c r="C35">
        <v>2.7099999999999999E-2</v>
      </c>
      <c r="D35">
        <v>5.1400000000000001E-2</v>
      </c>
      <c r="E35">
        <v>7.46E-2</v>
      </c>
      <c r="G35" s="9" t="s">
        <v>100</v>
      </c>
      <c r="H35">
        <v>-5.9999999999999995E-4</v>
      </c>
      <c r="I35">
        <v>2.8999999999999998E-3</v>
      </c>
      <c r="J35">
        <v>2.0000000000000001E-4</v>
      </c>
      <c r="K35">
        <v>-2.9999999999999997E-4</v>
      </c>
    </row>
    <row r="36" spans="1:11" x14ac:dyDescent="0.3">
      <c r="A36" s="9" t="s">
        <v>100</v>
      </c>
      <c r="B36">
        <v>1.9E-3</v>
      </c>
      <c r="C36">
        <v>1.1999999999999999E-3</v>
      </c>
      <c r="D36">
        <v>1.6999999999999999E-3</v>
      </c>
      <c r="E36">
        <v>6.4000000000000003E-3</v>
      </c>
      <c r="G36" s="9" t="s">
        <v>101</v>
      </c>
      <c r="H36">
        <v>3.0999999999999999E-3</v>
      </c>
      <c r="I36">
        <v>3.2000000000000002E-3</v>
      </c>
      <c r="J36">
        <v>2.3E-3</v>
      </c>
      <c r="K36">
        <v>4.1999999999999997E-3</v>
      </c>
    </row>
    <row r="37" spans="1:11" x14ac:dyDescent="0.3">
      <c r="A37" s="9" t="s">
        <v>101</v>
      </c>
      <c r="B37">
        <v>1.9E-3</v>
      </c>
      <c r="C37">
        <v>1.1999999999999999E-3</v>
      </c>
      <c r="D37">
        <v>1.6999999999999999E-3</v>
      </c>
      <c r="E37">
        <v>1.11E-2</v>
      </c>
      <c r="G37" s="9" t="s">
        <v>102</v>
      </c>
      <c r="H37">
        <v>8.8700000000000001E-2</v>
      </c>
      <c r="I37">
        <v>8.5400000000000004E-2</v>
      </c>
      <c r="J37">
        <v>9.9699999999999997E-2</v>
      </c>
      <c r="K37">
        <v>3.8399999999999997E-2</v>
      </c>
    </row>
    <row r="38" spans="1:11" x14ac:dyDescent="0.3">
      <c r="A38" s="9" t="s">
        <v>102</v>
      </c>
      <c r="B38">
        <v>5.6000000000000001E-2</v>
      </c>
      <c r="C38">
        <v>2.1000000000000001E-2</v>
      </c>
      <c r="D38">
        <v>5.5899999999999998E-2</v>
      </c>
      <c r="E38">
        <v>8.3400000000000002E-2</v>
      </c>
      <c r="G38" s="9" t="s">
        <v>103</v>
      </c>
      <c r="H38">
        <v>7.8E-2</v>
      </c>
      <c r="I38">
        <v>9.7699999999999995E-2</v>
      </c>
      <c r="J38">
        <v>8.6599999999999996E-2</v>
      </c>
      <c r="K38">
        <v>3.3300000000000003E-2</v>
      </c>
    </row>
    <row r="39" spans="1:11" x14ac:dyDescent="0.3">
      <c r="A39" s="9" t="s">
        <v>103</v>
      </c>
      <c r="B39">
        <v>6.3700000000000007E-2</v>
      </c>
      <c r="C39">
        <v>3.2599999999999997E-2</v>
      </c>
      <c r="D39">
        <v>7.0599999999999996E-2</v>
      </c>
      <c r="E39">
        <v>8.4000000000000005E-2</v>
      </c>
      <c r="G39" s="9" t="s">
        <v>104</v>
      </c>
      <c r="H39">
        <v>5.6399999999999999E-2</v>
      </c>
      <c r="I39">
        <v>6.6000000000000003E-2</v>
      </c>
      <c r="J39">
        <v>1.8800000000000001E-2</v>
      </c>
      <c r="K39">
        <v>1.6199999999999999E-2</v>
      </c>
    </row>
    <row r="40" spans="1:11" x14ac:dyDescent="0.3">
      <c r="A40" s="9" t="s">
        <v>104</v>
      </c>
      <c r="B40">
        <v>1.2699999999999999E-2</v>
      </c>
      <c r="C40">
        <v>1.2E-2</v>
      </c>
      <c r="D40">
        <v>1.5100000000000001E-2</v>
      </c>
      <c r="E40">
        <v>4.36E-2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C4E1-E924-4610-897A-40553517F2B2}">
  <dimension ref="A1:I69"/>
  <sheetViews>
    <sheetView topLeftCell="A9" zoomScale="85" zoomScaleNormal="85" workbookViewId="0">
      <selection activeCell="H42" sqref="H42"/>
    </sheetView>
  </sheetViews>
  <sheetFormatPr defaultRowHeight="14.4" x14ac:dyDescent="0.3"/>
  <cols>
    <col min="1" max="1" width="28" bestFit="1" customWidth="1"/>
    <col min="2" max="3" width="12" bestFit="1" customWidth="1"/>
    <col min="4" max="4" width="18" bestFit="1" customWidth="1"/>
    <col min="5" max="5" width="20.21875" bestFit="1" customWidth="1"/>
    <col min="6" max="6" width="28" bestFit="1" customWidth="1"/>
    <col min="7" max="7" width="16.5546875" bestFit="1" customWidth="1"/>
    <col min="8" max="10" width="12" bestFit="1" customWidth="1"/>
  </cols>
  <sheetData>
    <row r="1" spans="1:9" x14ac:dyDescent="0.3">
      <c r="A1" t="s">
        <v>0</v>
      </c>
      <c r="B1" t="s">
        <v>50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 spans="1:9" x14ac:dyDescent="0.3">
      <c r="A2" t="s">
        <v>53</v>
      </c>
      <c r="B2" s="8" t="s">
        <v>108</v>
      </c>
      <c r="C2" s="8">
        <v>2.9243749999999354E-2</v>
      </c>
      <c r="D2" s="8">
        <v>3.4881249999999552E-2</v>
      </c>
      <c r="E2" s="8">
        <v>6.7227011494251383E-4</v>
      </c>
      <c r="F2" s="8">
        <v>8.0186781609194375E-4</v>
      </c>
      <c r="G2" s="8">
        <v>6.4184692698381424E-2</v>
      </c>
      <c r="H2" s="8">
        <v>6.6782575150632767E-2</v>
      </c>
      <c r="I2" s="8">
        <v>1.3964740240363427E-2</v>
      </c>
    </row>
    <row r="3" spans="1:9" x14ac:dyDescent="0.3">
      <c r="B3" s="4" t="s">
        <v>35</v>
      </c>
      <c r="C3" s="4">
        <v>2.7662500000000312E-2</v>
      </c>
      <c r="D3" s="4">
        <v>3.4712500000000757E-2</v>
      </c>
      <c r="E3" s="4">
        <v>9.2024284763806753E-4</v>
      </c>
      <c r="F3" s="4">
        <v>1.1547737857618347E-3</v>
      </c>
      <c r="G3" s="4">
        <v>3.2145797418429163E-2</v>
      </c>
      <c r="H3" s="4">
        <v>3.9245740214703971E-2</v>
      </c>
      <c r="I3" s="4">
        <v>1.9733952658747521E-2</v>
      </c>
    </row>
    <row r="4" spans="1:9" x14ac:dyDescent="0.3">
      <c r="B4" s="9" t="s">
        <v>40</v>
      </c>
      <c r="C4" s="9">
        <v>-8.874999999999883E-3</v>
      </c>
      <c r="D4" s="9">
        <v>1.6062500000000063E-2</v>
      </c>
      <c r="E4" s="9">
        <v>-1.3167655786349975E-3</v>
      </c>
      <c r="F4" s="9">
        <v>2.3831602373887333E-3</v>
      </c>
      <c r="G4" s="9">
        <v>2.7574422024767821E-2</v>
      </c>
      <c r="H4" s="9">
        <v>2.5476012001488742E-2</v>
      </c>
      <c r="I4" s="9">
        <v>1.277003018423018E-2</v>
      </c>
    </row>
    <row r="5" spans="1:9" x14ac:dyDescent="0.3">
      <c r="A5" t="s">
        <v>66</v>
      </c>
      <c r="B5" s="8" t="s">
        <v>108</v>
      </c>
      <c r="C5" s="8">
        <v>3.4147187499999739E-2</v>
      </c>
      <c r="D5" s="8">
        <v>3.4372187499999741E-2</v>
      </c>
      <c r="E5" s="8">
        <v>7.8499281609194802E-4</v>
      </c>
      <c r="F5" s="8">
        <v>7.9016522988505154E-4</v>
      </c>
      <c r="G5" s="8">
        <v>3.9880777356603503E-2</v>
      </c>
      <c r="H5" s="8">
        <v>5.0573681558753907E-2</v>
      </c>
      <c r="I5" s="8">
        <v>1.2352323294748238E-2</v>
      </c>
    </row>
    <row r="6" spans="1:9" x14ac:dyDescent="0.3">
      <c r="B6" s="4" t="s">
        <v>35</v>
      </c>
      <c r="C6" s="4">
        <v>5.1418750000000069E-2</v>
      </c>
      <c r="D6" s="4">
        <v>5.1418750000000069E-2</v>
      </c>
      <c r="E6" s="4">
        <v>1.7105372588157041E-3</v>
      </c>
      <c r="F6" s="4">
        <v>1.7105372588157041E-3</v>
      </c>
      <c r="G6" s="4">
        <v>5.5876513309111871E-2</v>
      </c>
      <c r="H6" s="4">
        <v>7.0608260184273228E-2</v>
      </c>
      <c r="I6" s="4">
        <v>1.5117349580271012E-2</v>
      </c>
    </row>
    <row r="7" spans="1:9" x14ac:dyDescent="0.3">
      <c r="B7" s="9" t="s">
        <v>40</v>
      </c>
      <c r="C7" s="9">
        <v>4.2906249999999924E-2</v>
      </c>
      <c r="D7" s="9">
        <v>7.4618749999999956E-2</v>
      </c>
      <c r="E7" s="9">
        <v>6.3659124629080006E-3</v>
      </c>
      <c r="F7" s="9">
        <v>1.1071031157270022E-2</v>
      </c>
      <c r="G7" s="9">
        <v>8.3358716238415398E-2</v>
      </c>
      <c r="H7" s="9">
        <v>8.3978884064686093E-2</v>
      </c>
      <c r="I7" s="9">
        <v>4.3611905928216656E-2</v>
      </c>
    </row>
    <row r="8" spans="1:9" x14ac:dyDescent="0.3">
      <c r="A8" t="s">
        <v>67</v>
      </c>
      <c r="B8" s="8" t="s">
        <v>108</v>
      </c>
      <c r="C8" s="8">
        <v>3.6552812499999754E-2</v>
      </c>
      <c r="D8" s="8">
        <v>4.1815312499999729E-2</v>
      </c>
      <c r="E8" s="8">
        <v>8.4029454022987939E-4</v>
      </c>
      <c r="F8" s="8">
        <v>9.6127155172413175E-4</v>
      </c>
      <c r="G8" s="8">
        <v>5.2102838478982554E-2</v>
      </c>
      <c r="H8" s="8">
        <v>6.0921881594639009E-2</v>
      </c>
      <c r="I8" s="8">
        <v>2.1737675718545905E-2</v>
      </c>
    </row>
    <row r="9" spans="1:9" x14ac:dyDescent="0.3">
      <c r="B9" s="4" t="s">
        <v>35</v>
      </c>
      <c r="C9" s="4">
        <v>4.13062500000001E-2</v>
      </c>
      <c r="D9" s="4">
        <v>7.3881249999999676E-2</v>
      </c>
      <c r="E9" s="4">
        <v>1.3741267465069893E-3</v>
      </c>
      <c r="F9" s="4">
        <v>2.4577927478376472E-3</v>
      </c>
      <c r="G9" s="4">
        <v>8.1677828425160443E-2</v>
      </c>
      <c r="H9" s="4">
        <v>8.1912496184953179E-2</v>
      </c>
      <c r="I9" s="4">
        <v>3.7952967396433043E-2</v>
      </c>
    </row>
    <row r="10" spans="1:9" x14ac:dyDescent="0.3">
      <c r="B10" s="9" t="s">
        <v>40</v>
      </c>
      <c r="C10" s="9">
        <v>5.5620625000000118E-2</v>
      </c>
      <c r="D10" s="9">
        <v>6.2795625000000049E-2</v>
      </c>
      <c r="E10" s="9">
        <v>8.2523182492581781E-3</v>
      </c>
      <c r="F10" s="9">
        <v>9.3168583086053487E-3</v>
      </c>
      <c r="G10" s="9">
        <v>8.7026278559385911E-2</v>
      </c>
      <c r="H10" s="9">
        <v>9.3668745029025086E-2</v>
      </c>
      <c r="I10" s="9">
        <v>4.215532187692396E-2</v>
      </c>
    </row>
    <row r="11" spans="1:9" x14ac:dyDescent="0.3">
      <c r="A11" t="s">
        <v>47</v>
      </c>
      <c r="B11" s="8" t="s">
        <v>108</v>
      </c>
      <c r="C11" s="8">
        <v>2.497812499999931E-2</v>
      </c>
      <c r="D11" s="8">
        <v>6.8359375000000014E-2</v>
      </c>
      <c r="E11" s="8">
        <v>5.7420977011492669E-4</v>
      </c>
      <c r="F11" s="8">
        <v>1.5714798850574715E-3</v>
      </c>
      <c r="G11" s="8">
        <v>9.0671415638222244E-2</v>
      </c>
      <c r="H11" s="8">
        <v>8.8416905287535014E-2</v>
      </c>
      <c r="I11" s="8">
        <v>6.1404099774317093E-2</v>
      </c>
    </row>
    <row r="12" spans="1:9" x14ac:dyDescent="0.3">
      <c r="B12" s="4" t="s">
        <v>35</v>
      </c>
      <c r="C12" s="4">
        <v>5.8687500000000337E-3</v>
      </c>
      <c r="D12" s="4">
        <v>6.9193750000000775E-2</v>
      </c>
      <c r="E12" s="4">
        <v>1.9523453093812487E-4</v>
      </c>
      <c r="F12" s="4">
        <v>2.3018546240851888E-3</v>
      </c>
      <c r="G12" s="4">
        <v>9.9732478358774732E-2</v>
      </c>
      <c r="H12" s="4">
        <v>8.6570015919197468E-2</v>
      </c>
      <c r="I12" s="4">
        <v>1.882338602703322E-2</v>
      </c>
    </row>
    <row r="13" spans="1:9" x14ac:dyDescent="0.3">
      <c r="B13" s="9" t="s">
        <v>40</v>
      </c>
      <c r="C13" s="9">
        <v>-2.081249999999979E-3</v>
      </c>
      <c r="D13" s="9">
        <v>2.8106250000000055E-2</v>
      </c>
      <c r="E13" s="9">
        <v>-3.087908011869405E-4</v>
      </c>
      <c r="F13" s="9">
        <v>4.1700667655786431E-3</v>
      </c>
      <c r="G13" s="9">
        <v>3.8379640734596147E-2</v>
      </c>
      <c r="H13" s="9">
        <v>3.3302841001181929E-2</v>
      </c>
      <c r="I13" s="9">
        <v>1.6241164385913252E-2</v>
      </c>
    </row>
    <row r="14" spans="1:9" s="11" customFormat="1" x14ac:dyDescent="0.3"/>
    <row r="15" spans="1:9" s="11" customFormat="1" x14ac:dyDescent="0.3"/>
    <row r="16" spans="1:9" s="11" customFormat="1" x14ac:dyDescent="0.3"/>
    <row r="17" spans="1:9" s="16" customFormat="1" x14ac:dyDescent="0.3">
      <c r="A17" s="16" t="s">
        <v>114</v>
      </c>
      <c r="F17" s="16" t="s">
        <v>116</v>
      </c>
      <c r="G17" s="11"/>
      <c r="H17" s="11"/>
      <c r="I17" s="11"/>
    </row>
    <row r="18" spans="1:9" s="17" customFormat="1" x14ac:dyDescent="0.3">
      <c r="B18" s="17" t="s">
        <v>108</v>
      </c>
      <c r="C18" s="17" t="s">
        <v>35</v>
      </c>
      <c r="D18" s="17" t="s">
        <v>40</v>
      </c>
      <c r="G18" s="17" t="s">
        <v>108</v>
      </c>
      <c r="H18" s="17" t="s">
        <v>35</v>
      </c>
      <c r="I18" s="17" t="s">
        <v>40</v>
      </c>
    </row>
    <row r="19" spans="1:9" s="11" customFormat="1" x14ac:dyDescent="0.3">
      <c r="A19" s="9" t="s">
        <v>98</v>
      </c>
      <c r="B19" s="11">
        <v>2.92E-2</v>
      </c>
      <c r="C19" s="11">
        <v>2.7699999999999999E-2</v>
      </c>
      <c r="D19" s="11">
        <v>-8.8999999999999999E-3</v>
      </c>
      <c r="F19" s="9" t="s">
        <v>98</v>
      </c>
      <c r="G19" s="11">
        <v>3.6600000000000001E-2</v>
      </c>
      <c r="H19" s="11">
        <v>4.1300000000000003E-2</v>
      </c>
      <c r="I19" s="11">
        <v>5.5599999999999997E-2</v>
      </c>
    </row>
    <row r="20" spans="1:9" s="11" customFormat="1" x14ac:dyDescent="0.3">
      <c r="A20" s="9" t="s">
        <v>99</v>
      </c>
      <c r="B20" s="11">
        <v>3.49E-2</v>
      </c>
      <c r="C20" s="11">
        <v>3.4700000000000002E-2</v>
      </c>
      <c r="D20" s="11">
        <v>1.61E-2</v>
      </c>
      <c r="F20" s="9" t="s">
        <v>99</v>
      </c>
      <c r="G20" s="11">
        <v>4.1799999999999997E-2</v>
      </c>
      <c r="H20" s="11">
        <v>7.3899999999999993E-2</v>
      </c>
      <c r="I20" s="11">
        <v>6.2799999999999995E-2</v>
      </c>
    </row>
    <row r="21" spans="1:9" s="11" customFormat="1" x14ac:dyDescent="0.3">
      <c r="A21" s="9" t="s">
        <v>100</v>
      </c>
      <c r="B21" s="11">
        <v>6.9999999999999999E-4</v>
      </c>
      <c r="C21" s="11">
        <v>8.9999999999999998E-4</v>
      </c>
      <c r="D21" s="11">
        <v>-1.2999999999999999E-3</v>
      </c>
      <c r="F21" s="9" t="s">
        <v>100</v>
      </c>
      <c r="G21" s="11">
        <v>8.0000000000000004E-4</v>
      </c>
      <c r="H21" s="11">
        <v>1.4E-3</v>
      </c>
      <c r="I21" s="11">
        <v>8.3000000000000001E-3</v>
      </c>
    </row>
    <row r="22" spans="1:9" s="11" customFormat="1" x14ac:dyDescent="0.3">
      <c r="A22" s="9" t="s">
        <v>101</v>
      </c>
      <c r="B22" s="11">
        <v>8.0000000000000004E-4</v>
      </c>
      <c r="C22" s="11">
        <v>1.1999999999999999E-3</v>
      </c>
      <c r="D22" s="11">
        <v>2.3999999999999998E-3</v>
      </c>
      <c r="F22" s="9" t="s">
        <v>101</v>
      </c>
      <c r="G22" s="11">
        <v>1E-3</v>
      </c>
      <c r="H22" s="11">
        <v>2.5000000000000001E-3</v>
      </c>
      <c r="I22" s="11">
        <v>9.2999999999999992E-3</v>
      </c>
    </row>
    <row r="23" spans="1:9" s="11" customFormat="1" x14ac:dyDescent="0.3">
      <c r="A23" s="9" t="s">
        <v>102</v>
      </c>
      <c r="B23" s="11">
        <v>6.4199999999999993E-2</v>
      </c>
      <c r="C23" s="11">
        <v>3.2099999999999997E-2</v>
      </c>
      <c r="D23" s="11">
        <v>2.76E-2</v>
      </c>
      <c r="F23" s="9" t="s">
        <v>102</v>
      </c>
      <c r="G23" s="11">
        <v>5.21E-2</v>
      </c>
      <c r="H23" s="11">
        <v>8.1699999999999995E-2</v>
      </c>
      <c r="I23" s="11">
        <v>8.6999999999999994E-2</v>
      </c>
    </row>
    <row r="24" spans="1:9" s="11" customFormat="1" x14ac:dyDescent="0.3">
      <c r="A24" s="9" t="s">
        <v>103</v>
      </c>
      <c r="B24" s="11">
        <v>6.6799999999999998E-2</v>
      </c>
      <c r="C24" s="11">
        <v>3.9199999999999999E-2</v>
      </c>
      <c r="D24" s="11">
        <v>2.5499999999999998E-2</v>
      </c>
      <c r="F24" s="9" t="s">
        <v>103</v>
      </c>
      <c r="G24" s="11">
        <v>6.0900000000000003E-2</v>
      </c>
      <c r="H24" s="11">
        <v>8.1900000000000001E-2</v>
      </c>
      <c r="I24" s="11">
        <v>9.3700000000000006E-2</v>
      </c>
    </row>
    <row r="25" spans="1:9" s="11" customFormat="1" x14ac:dyDescent="0.3">
      <c r="A25" s="9" t="s">
        <v>104</v>
      </c>
      <c r="B25" s="11">
        <v>1.4E-2</v>
      </c>
      <c r="C25" s="11">
        <v>1.9699999999999999E-2</v>
      </c>
      <c r="D25" s="11">
        <v>1.2800000000000001E-2</v>
      </c>
      <c r="F25" s="9" t="s">
        <v>104</v>
      </c>
      <c r="G25" s="11">
        <v>2.1700000000000001E-2</v>
      </c>
      <c r="H25" s="11">
        <v>3.7999999999999999E-2</v>
      </c>
      <c r="I25" s="11">
        <v>4.2200000000000001E-2</v>
      </c>
    </row>
    <row r="26" spans="1:9" s="11" customFormat="1" x14ac:dyDescent="0.3"/>
    <row r="27" spans="1:9" s="11" customFormat="1" x14ac:dyDescent="0.3">
      <c r="A27" s="16" t="s">
        <v>115</v>
      </c>
      <c r="F27" s="16" t="s">
        <v>117</v>
      </c>
    </row>
    <row r="28" spans="1:9" s="17" customFormat="1" x14ac:dyDescent="0.3">
      <c r="B28" s="17" t="s">
        <v>108</v>
      </c>
      <c r="C28" s="17" t="s">
        <v>35</v>
      </c>
      <c r="D28" s="17" t="s">
        <v>40</v>
      </c>
      <c r="G28" s="17" t="s">
        <v>108</v>
      </c>
      <c r="H28" s="17" t="s">
        <v>35</v>
      </c>
      <c r="I28" s="17" t="s">
        <v>40</v>
      </c>
    </row>
    <row r="29" spans="1:9" s="11" customFormat="1" x14ac:dyDescent="0.3">
      <c r="A29" s="9" t="s">
        <v>98</v>
      </c>
      <c r="B29" s="11">
        <v>3.4099999999999998E-2</v>
      </c>
      <c r="C29" s="11">
        <v>5.1400000000000001E-2</v>
      </c>
      <c r="D29" s="11">
        <v>4.2900000000000001E-2</v>
      </c>
      <c r="F29" s="9" t="s">
        <v>98</v>
      </c>
      <c r="G29" s="11">
        <v>2.5000000000000001E-2</v>
      </c>
      <c r="H29" s="11">
        <v>5.8999999999999999E-3</v>
      </c>
      <c r="I29" s="11">
        <v>-2.0999999999999999E-3</v>
      </c>
    </row>
    <row r="30" spans="1:9" s="11" customFormat="1" x14ac:dyDescent="0.3">
      <c r="A30" s="9" t="s">
        <v>99</v>
      </c>
      <c r="B30" s="11">
        <v>3.44E-2</v>
      </c>
      <c r="C30" s="11">
        <v>5.1400000000000001E-2</v>
      </c>
      <c r="D30" s="11">
        <v>7.46E-2</v>
      </c>
      <c r="F30" s="9" t="s">
        <v>99</v>
      </c>
      <c r="G30" s="11">
        <v>6.8400000000000002E-2</v>
      </c>
      <c r="H30" s="11">
        <v>6.9199999999999998E-2</v>
      </c>
      <c r="I30" s="11">
        <v>2.81E-2</v>
      </c>
    </row>
    <row r="31" spans="1:9" s="11" customFormat="1" x14ac:dyDescent="0.3">
      <c r="A31" s="9" t="s">
        <v>100</v>
      </c>
      <c r="B31" s="11">
        <v>8.0000000000000004E-4</v>
      </c>
      <c r="C31" s="11">
        <v>1.6999999999999999E-3</v>
      </c>
      <c r="D31" s="11">
        <v>6.4000000000000003E-3</v>
      </c>
      <c r="F31" s="9" t="s">
        <v>100</v>
      </c>
      <c r="G31" s="11">
        <v>5.9999999999999995E-4</v>
      </c>
      <c r="H31" s="11">
        <v>2.0000000000000001E-4</v>
      </c>
      <c r="I31" s="11">
        <v>-2.9999999999999997E-4</v>
      </c>
    </row>
    <row r="32" spans="1:9" s="11" customFormat="1" x14ac:dyDescent="0.3">
      <c r="A32" s="9" t="s">
        <v>101</v>
      </c>
      <c r="B32" s="11">
        <v>8.0000000000000004E-4</v>
      </c>
      <c r="C32" s="11">
        <v>1.6999999999999999E-3</v>
      </c>
      <c r="D32" s="11">
        <v>1.11E-2</v>
      </c>
      <c r="F32" s="9" t="s">
        <v>101</v>
      </c>
      <c r="G32" s="11">
        <v>1.6000000000000001E-3</v>
      </c>
      <c r="H32" s="11">
        <v>2.3E-3</v>
      </c>
      <c r="I32" s="11">
        <v>4.1999999999999997E-3</v>
      </c>
    </row>
    <row r="33" spans="1:9" s="11" customFormat="1" x14ac:dyDescent="0.3">
      <c r="A33" s="9" t="s">
        <v>102</v>
      </c>
      <c r="B33" s="11">
        <v>3.9899999999999998E-2</v>
      </c>
      <c r="C33" s="11">
        <v>5.5899999999999998E-2</v>
      </c>
      <c r="D33" s="11">
        <v>8.3400000000000002E-2</v>
      </c>
      <c r="F33" s="9" t="s">
        <v>102</v>
      </c>
      <c r="G33" s="11">
        <v>9.0700000000000003E-2</v>
      </c>
      <c r="H33" s="11">
        <v>9.9699999999999997E-2</v>
      </c>
      <c r="I33" s="11">
        <v>3.8399999999999997E-2</v>
      </c>
    </row>
    <row r="34" spans="1:9" s="11" customFormat="1" x14ac:dyDescent="0.3">
      <c r="A34" s="9" t="s">
        <v>103</v>
      </c>
      <c r="B34" s="11">
        <v>5.0599999999999999E-2</v>
      </c>
      <c r="C34" s="11">
        <v>7.0599999999999996E-2</v>
      </c>
      <c r="D34" s="11">
        <v>8.4000000000000005E-2</v>
      </c>
      <c r="F34" s="9" t="s">
        <v>103</v>
      </c>
      <c r="G34" s="11">
        <v>8.8400000000000006E-2</v>
      </c>
      <c r="H34" s="11">
        <v>8.6599999999999996E-2</v>
      </c>
      <c r="I34" s="11">
        <v>3.3300000000000003E-2</v>
      </c>
    </row>
    <row r="35" spans="1:9" s="11" customFormat="1" x14ac:dyDescent="0.3">
      <c r="A35" s="9" t="s">
        <v>104</v>
      </c>
      <c r="B35" s="11">
        <v>1.24E-2</v>
      </c>
      <c r="C35" s="11">
        <v>1.5100000000000001E-2</v>
      </c>
      <c r="D35" s="11">
        <v>4.36E-2</v>
      </c>
      <c r="F35" s="9" t="s">
        <v>104</v>
      </c>
      <c r="G35" s="11">
        <v>6.1400000000000003E-2</v>
      </c>
      <c r="H35" s="11">
        <v>1.8800000000000001E-2</v>
      </c>
      <c r="I35" s="11">
        <v>1.6199999999999999E-2</v>
      </c>
    </row>
    <row r="36" spans="1:9" s="11" customFormat="1" x14ac:dyDescent="0.3"/>
    <row r="37" spans="1:9" s="11" customFormat="1" x14ac:dyDescent="0.3"/>
    <row r="38" spans="1:9" s="17" customFormat="1" x14ac:dyDescent="0.3">
      <c r="B38" s="11"/>
      <c r="C38" s="11"/>
      <c r="D38" s="11"/>
    </row>
    <row r="39" spans="1:9" s="11" customFormat="1" x14ac:dyDescent="0.3"/>
    <row r="40" spans="1:9" s="11" customFormat="1" x14ac:dyDescent="0.3"/>
    <row r="41" spans="1:9" s="11" customFormat="1" x14ac:dyDescent="0.3"/>
    <row r="42" spans="1:9" s="11" customFormat="1" x14ac:dyDescent="0.3"/>
    <row r="43" spans="1:9" s="11" customFormat="1" x14ac:dyDescent="0.3"/>
    <row r="44" spans="1:9" s="11" customFormat="1" x14ac:dyDescent="0.3"/>
    <row r="45" spans="1:9" s="11" customFormat="1" x14ac:dyDescent="0.3"/>
    <row r="46" spans="1:9" s="11" customFormat="1" x14ac:dyDescent="0.3"/>
    <row r="47" spans="1:9" s="11" customFormat="1" x14ac:dyDescent="0.3"/>
    <row r="48" spans="1:9" s="17" customFormat="1" x14ac:dyDescent="0.3">
      <c r="B48" s="11"/>
      <c r="C48" s="11"/>
      <c r="D48" s="11"/>
    </row>
    <row r="49" s="11" customFormat="1" x14ac:dyDescent="0.3"/>
    <row r="50" s="11" customFormat="1" x14ac:dyDescent="0.3"/>
    <row r="51" s="11" customFormat="1" x14ac:dyDescent="0.3"/>
    <row r="52" s="11" customFormat="1" x14ac:dyDescent="0.3"/>
    <row r="53" s="11" customFormat="1" x14ac:dyDescent="0.3"/>
    <row r="54" s="11" customFormat="1" x14ac:dyDescent="0.3"/>
    <row r="55" s="11" customFormat="1" x14ac:dyDescent="0.3"/>
    <row r="56" s="11" customFormat="1" x14ac:dyDescent="0.3"/>
    <row r="57" s="11" customFormat="1" x14ac:dyDescent="0.3"/>
    <row r="58" s="11" customFormat="1" x14ac:dyDescent="0.3"/>
    <row r="59" s="11" customFormat="1" x14ac:dyDescent="0.3"/>
    <row r="60" s="11" customFormat="1" x14ac:dyDescent="0.3"/>
    <row r="61" s="11" customFormat="1" x14ac:dyDescent="0.3"/>
    <row r="62" s="11" customFormat="1" x14ac:dyDescent="0.3"/>
    <row r="63" s="11" customFormat="1" x14ac:dyDescent="0.3"/>
    <row r="64" s="11" customFormat="1" x14ac:dyDescent="0.3"/>
    <row r="65" s="11" customFormat="1" x14ac:dyDescent="0.3"/>
    <row r="66" s="11" customFormat="1" x14ac:dyDescent="0.3"/>
    <row r="67" s="11" customFormat="1" x14ac:dyDescent="0.3"/>
    <row r="68" s="11" customFormat="1" x14ac:dyDescent="0.3"/>
    <row r="69" s="11" customFormat="1" x14ac:dyDescent="0.3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0678-FD6B-4602-928D-A2378C50B77D}">
  <dimension ref="A1:K69"/>
  <sheetViews>
    <sheetView topLeftCell="A5" workbookViewId="0">
      <selection activeCell="A13" sqref="A13:E20"/>
    </sheetView>
  </sheetViews>
  <sheetFormatPr defaultRowHeight="14.4" x14ac:dyDescent="0.3"/>
  <cols>
    <col min="1" max="1" width="28" bestFit="1" customWidth="1"/>
    <col min="2" max="2" width="15.77734375" bestFit="1" customWidth="1"/>
    <col min="3" max="3" width="12" bestFit="1" customWidth="1"/>
    <col min="4" max="4" width="18" bestFit="1" customWidth="1"/>
    <col min="5" max="5" width="20.21875" bestFit="1" customWidth="1"/>
    <col min="6" max="7" width="28" bestFit="1" customWidth="1"/>
    <col min="8" max="8" width="12.6640625" bestFit="1" customWidth="1"/>
    <col min="9" max="10" width="12" bestFit="1" customWidth="1"/>
    <col min="11" max="11" width="12.6640625" bestFit="1" customWidth="1"/>
  </cols>
  <sheetData>
    <row r="1" spans="1:11" x14ac:dyDescent="0.3">
      <c r="A1" t="s">
        <v>0</v>
      </c>
      <c r="B1" t="s">
        <v>107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</row>
    <row r="2" spans="1:11" x14ac:dyDescent="0.3">
      <c r="A2" t="s">
        <v>53</v>
      </c>
      <c r="B2" s="10" t="s">
        <v>105</v>
      </c>
      <c r="C2" s="10">
        <v>2.8716666666666339E-2</v>
      </c>
      <c r="D2" s="10">
        <v>3.4824999999999953E-2</v>
      </c>
      <c r="E2" s="10">
        <v>3.9038426681166854E-4</v>
      </c>
      <c r="F2" s="10">
        <v>4.7342305600869974E-4</v>
      </c>
      <c r="G2" s="10">
        <v>5.3889152152329679E-2</v>
      </c>
      <c r="H2" s="10">
        <v>5.904815213733014E-2</v>
      </c>
      <c r="I2" s="10">
        <v>1.6118900164086254E-2</v>
      </c>
    </row>
    <row r="3" spans="1:11" x14ac:dyDescent="0.3">
      <c r="B3" s="9" t="s">
        <v>106</v>
      </c>
      <c r="C3" s="9">
        <v>-8.874999999999883E-3</v>
      </c>
      <c r="D3" s="9">
        <v>1.6062500000000063E-2</v>
      </c>
      <c r="E3" s="9">
        <v>-1.3167655786349975E-3</v>
      </c>
      <c r="F3" s="9">
        <v>2.3831602373887333E-3</v>
      </c>
      <c r="G3" s="9">
        <v>2.7574422024767821E-2</v>
      </c>
      <c r="H3" s="9">
        <v>2.5476012001488742E-2</v>
      </c>
      <c r="I3" s="9">
        <v>1.277003018423018E-2</v>
      </c>
    </row>
    <row r="4" spans="1:11" x14ac:dyDescent="0.3">
      <c r="A4" t="s">
        <v>66</v>
      </c>
      <c r="B4" s="10" t="s">
        <v>105</v>
      </c>
      <c r="C4" s="10">
        <v>3.9904374999999846E-2</v>
      </c>
      <c r="D4" s="10">
        <v>4.0054374999999851E-2</v>
      </c>
      <c r="E4" s="10">
        <v>5.4247383088634922E-4</v>
      </c>
      <c r="F4" s="10">
        <v>5.4451298259923671E-4</v>
      </c>
      <c r="G4" s="10">
        <v>4.3999353328473836E-2</v>
      </c>
      <c r="H4" s="10">
        <v>5.802562921980399E-2</v>
      </c>
      <c r="I4" s="10">
        <v>1.3337841403166658E-2</v>
      </c>
    </row>
    <row r="5" spans="1:11" x14ac:dyDescent="0.3">
      <c r="B5" s="9" t="s">
        <v>106</v>
      </c>
      <c r="C5" s="9">
        <v>4.2906249999999924E-2</v>
      </c>
      <c r="D5" s="9">
        <v>7.4618749999999956E-2</v>
      </c>
      <c r="E5" s="9">
        <v>6.3659124629080006E-3</v>
      </c>
      <c r="F5" s="9">
        <v>1.1071031157270022E-2</v>
      </c>
      <c r="G5" s="9">
        <v>8.3358716238415398E-2</v>
      </c>
      <c r="H5" s="9">
        <v>8.3978884064686093E-2</v>
      </c>
      <c r="I5" s="9">
        <v>4.3611905928216656E-2</v>
      </c>
    </row>
    <row r="6" spans="1:11" x14ac:dyDescent="0.3">
      <c r="A6" t="s">
        <v>67</v>
      </c>
      <c r="B6" s="10" t="s">
        <v>105</v>
      </c>
      <c r="C6" s="10">
        <v>3.8137291666666538E-2</v>
      </c>
      <c r="D6" s="10">
        <v>5.2503958333333045E-2</v>
      </c>
      <c r="E6" s="10">
        <v>5.184514908464728E-4</v>
      </c>
      <c r="F6" s="10">
        <v>7.1375691045857861E-4</v>
      </c>
      <c r="G6" s="10">
        <v>5.960246882716802E-2</v>
      </c>
      <c r="H6" s="10">
        <v>6.8635773824132454E-2</v>
      </c>
      <c r="I6" s="10">
        <v>2.8198586403600862E-2</v>
      </c>
    </row>
    <row r="7" spans="1:11" x14ac:dyDescent="0.3">
      <c r="B7" s="9" t="s">
        <v>106</v>
      </c>
      <c r="C7" s="9">
        <v>5.5620625000000118E-2</v>
      </c>
      <c r="D7" s="9">
        <v>6.2795625000000049E-2</v>
      </c>
      <c r="E7" s="9">
        <v>8.2523182492581781E-3</v>
      </c>
      <c r="F7" s="9">
        <v>9.3168583086053487E-3</v>
      </c>
      <c r="G7" s="9">
        <v>8.7026278559385911E-2</v>
      </c>
      <c r="H7" s="9">
        <v>9.3668745029025086E-2</v>
      </c>
      <c r="I7" s="9">
        <v>4.215532187692396E-2</v>
      </c>
    </row>
    <row r="8" spans="1:11" x14ac:dyDescent="0.3">
      <c r="A8" t="s">
        <v>47</v>
      </c>
      <c r="B8" s="10" t="s">
        <v>105</v>
      </c>
      <c r="C8" s="10">
        <v>1.8608333333332883E-2</v>
      </c>
      <c r="D8" s="10">
        <v>6.8637500000000268E-2</v>
      </c>
      <c r="E8" s="10">
        <v>2.5296809860430783E-4</v>
      </c>
      <c r="F8" s="10">
        <v>9.3308183795541414E-4</v>
      </c>
      <c r="G8" s="10">
        <v>8.9626813620126977E-2</v>
      </c>
      <c r="H8" s="10">
        <v>8.7805591958409229E-2</v>
      </c>
      <c r="I8" s="10">
        <v>5.1300574394806689E-2</v>
      </c>
    </row>
    <row r="9" spans="1:11" x14ac:dyDescent="0.3">
      <c r="B9" s="9" t="s">
        <v>106</v>
      </c>
      <c r="C9" s="9">
        <v>-2.081249999999979E-3</v>
      </c>
      <c r="D9" s="9">
        <v>2.8106250000000055E-2</v>
      </c>
      <c r="E9" s="9">
        <v>-3.087908011869405E-4</v>
      </c>
      <c r="F9" s="9">
        <v>4.1700667655786431E-3</v>
      </c>
      <c r="G9" s="9">
        <v>3.8379640734596147E-2</v>
      </c>
      <c r="H9" s="9">
        <v>3.3302841001181929E-2</v>
      </c>
      <c r="I9" s="9">
        <v>1.6241164385913252E-2</v>
      </c>
    </row>
    <row r="10" spans="1:11" s="11" customFormat="1" x14ac:dyDescent="0.3"/>
    <row r="11" spans="1:11" s="11" customFormat="1" x14ac:dyDescent="0.3"/>
    <row r="12" spans="1:11" s="11" customFormat="1" x14ac:dyDescent="0.3">
      <c r="A12" s="16" t="s">
        <v>118</v>
      </c>
      <c r="G12" s="16" t="s">
        <v>120</v>
      </c>
    </row>
    <row r="13" spans="1:11" s="17" customFormat="1" x14ac:dyDescent="0.3">
      <c r="B13" s="17" t="s">
        <v>53</v>
      </c>
      <c r="C13" s="17" t="s">
        <v>66</v>
      </c>
      <c r="D13" s="17" t="s">
        <v>67</v>
      </c>
      <c r="E13" s="17" t="s">
        <v>47</v>
      </c>
      <c r="H13" s="17" t="s">
        <v>53</v>
      </c>
      <c r="I13" s="17" t="s">
        <v>66</v>
      </c>
      <c r="J13" s="17" t="s">
        <v>67</v>
      </c>
      <c r="K13" s="17" t="s">
        <v>47</v>
      </c>
    </row>
    <row r="14" spans="1:11" s="11" customFormat="1" x14ac:dyDescent="0.3">
      <c r="A14" s="9" t="s">
        <v>98</v>
      </c>
      <c r="B14" s="11">
        <v>2.87E-2</v>
      </c>
      <c r="C14" s="11">
        <v>3.9899999999999998E-2</v>
      </c>
      <c r="D14" s="11">
        <v>3.8100000000000002E-2</v>
      </c>
      <c r="E14" s="11">
        <v>1.8599999999999998E-2</v>
      </c>
      <c r="G14" s="9" t="s">
        <v>98</v>
      </c>
      <c r="H14" s="11">
        <v>-8.8999999999999999E-3</v>
      </c>
      <c r="I14" s="11">
        <v>4.2900000000000001E-2</v>
      </c>
      <c r="J14" s="11">
        <v>5.5599999999999997E-2</v>
      </c>
      <c r="K14" s="11">
        <v>-2.0999999999999999E-3</v>
      </c>
    </row>
    <row r="15" spans="1:11" s="11" customFormat="1" x14ac:dyDescent="0.3">
      <c r="A15" s="9" t="s">
        <v>99</v>
      </c>
      <c r="B15" s="11">
        <v>3.4799999999999998E-2</v>
      </c>
      <c r="C15" s="11">
        <v>4.0099999999999997E-2</v>
      </c>
      <c r="D15" s="11">
        <v>5.2499999999999998E-2</v>
      </c>
      <c r="E15" s="11">
        <v>6.8599999999999994E-2</v>
      </c>
      <c r="G15" s="9" t="s">
        <v>99</v>
      </c>
      <c r="H15" s="11">
        <v>1.61E-2</v>
      </c>
      <c r="I15" s="11">
        <v>7.46E-2</v>
      </c>
      <c r="J15" s="11">
        <v>6.2799999999999995E-2</v>
      </c>
      <c r="K15" s="11">
        <v>2.81E-2</v>
      </c>
    </row>
    <row r="16" spans="1:11" s="11" customFormat="1" x14ac:dyDescent="0.3">
      <c r="A16" s="9" t="s">
        <v>100</v>
      </c>
      <c r="B16" s="11">
        <v>4.0000000000000002E-4</v>
      </c>
      <c r="C16" s="11">
        <v>5.0000000000000001E-4</v>
      </c>
      <c r="D16" s="11">
        <v>5.0000000000000001E-4</v>
      </c>
      <c r="E16" s="11">
        <v>2.9999999999999997E-4</v>
      </c>
      <c r="G16" s="9" t="s">
        <v>100</v>
      </c>
      <c r="H16" s="11">
        <v>-1.2999999999999999E-3</v>
      </c>
      <c r="I16" s="11">
        <v>6.4000000000000003E-3</v>
      </c>
      <c r="J16" s="11">
        <v>8.3000000000000001E-3</v>
      </c>
      <c r="K16" s="11">
        <v>-2.9999999999999997E-4</v>
      </c>
    </row>
    <row r="17" spans="1:11" s="11" customFormat="1" x14ac:dyDescent="0.3">
      <c r="A17" s="9" t="s">
        <v>101</v>
      </c>
      <c r="B17" s="11">
        <v>5.0000000000000001E-4</v>
      </c>
      <c r="C17" s="11">
        <v>5.0000000000000001E-4</v>
      </c>
      <c r="D17" s="11">
        <v>6.9999999999999999E-4</v>
      </c>
      <c r="E17" s="11">
        <v>8.9999999999999998E-4</v>
      </c>
      <c r="G17" s="9" t="s">
        <v>101</v>
      </c>
      <c r="H17" s="11">
        <v>2.3999999999999998E-3</v>
      </c>
      <c r="I17" s="11">
        <v>1.11E-2</v>
      </c>
      <c r="J17" s="11">
        <v>9.2999999999999992E-3</v>
      </c>
      <c r="K17" s="11">
        <v>4.1999999999999997E-3</v>
      </c>
    </row>
    <row r="18" spans="1:11" s="11" customFormat="1" x14ac:dyDescent="0.3">
      <c r="A18" s="9" t="s">
        <v>102</v>
      </c>
      <c r="B18" s="11">
        <v>5.3900000000000003E-2</v>
      </c>
      <c r="C18" s="11">
        <v>4.3999999999999997E-2</v>
      </c>
      <c r="D18" s="11">
        <v>5.96E-2</v>
      </c>
      <c r="E18" s="11">
        <v>8.9599999999999999E-2</v>
      </c>
      <c r="G18" s="9" t="s">
        <v>102</v>
      </c>
      <c r="H18" s="11">
        <v>2.76E-2</v>
      </c>
      <c r="I18" s="11">
        <v>8.3400000000000002E-2</v>
      </c>
      <c r="J18" s="11">
        <v>8.6999999999999994E-2</v>
      </c>
      <c r="K18" s="11">
        <v>3.8399999999999997E-2</v>
      </c>
    </row>
    <row r="19" spans="1:11" s="11" customFormat="1" x14ac:dyDescent="0.3">
      <c r="A19" s="9" t="s">
        <v>103</v>
      </c>
      <c r="B19" s="11">
        <v>5.8999999999999997E-2</v>
      </c>
      <c r="C19" s="11">
        <v>5.8000000000000003E-2</v>
      </c>
      <c r="D19" s="11">
        <v>6.8599999999999994E-2</v>
      </c>
      <c r="E19" s="11">
        <v>8.7800000000000003E-2</v>
      </c>
      <c r="G19" s="9" t="s">
        <v>103</v>
      </c>
      <c r="H19" s="11">
        <v>2.5499999999999998E-2</v>
      </c>
      <c r="I19" s="11">
        <v>8.4000000000000005E-2</v>
      </c>
      <c r="J19" s="11">
        <v>9.3700000000000006E-2</v>
      </c>
      <c r="K19" s="11">
        <v>3.3300000000000003E-2</v>
      </c>
    </row>
    <row r="20" spans="1:11" s="11" customFormat="1" x14ac:dyDescent="0.3">
      <c r="A20" s="9" t="s">
        <v>104</v>
      </c>
      <c r="B20" s="11">
        <v>1.61E-2</v>
      </c>
      <c r="C20" s="11">
        <v>1.3299999999999999E-2</v>
      </c>
      <c r="D20" s="11">
        <v>2.8199999999999999E-2</v>
      </c>
      <c r="E20" s="11">
        <v>5.1299999999999998E-2</v>
      </c>
      <c r="G20" s="9" t="s">
        <v>104</v>
      </c>
      <c r="H20" s="11">
        <v>1.2800000000000001E-2</v>
      </c>
      <c r="I20" s="11">
        <v>4.36E-2</v>
      </c>
      <c r="J20" s="11">
        <v>4.2200000000000001E-2</v>
      </c>
      <c r="K20" s="11">
        <v>1.6199999999999999E-2</v>
      </c>
    </row>
    <row r="21" spans="1:11" s="11" customFormat="1" x14ac:dyDescent="0.3"/>
    <row r="22" spans="1:11" s="11" customFormat="1" x14ac:dyDescent="0.3"/>
    <row r="23" spans="1:11" s="17" customFormat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s="11" customFormat="1" x14ac:dyDescent="0.3"/>
    <row r="25" spans="1:11" s="11" customFormat="1" x14ac:dyDescent="0.3"/>
    <row r="26" spans="1:11" s="11" customFormat="1" x14ac:dyDescent="0.3"/>
    <row r="27" spans="1:11" s="11" customFormat="1" x14ac:dyDescent="0.3"/>
    <row r="28" spans="1:11" s="11" customFormat="1" x14ac:dyDescent="0.3"/>
    <row r="29" spans="1:11" s="11" customFormat="1" x14ac:dyDescent="0.3"/>
    <row r="30" spans="1:11" s="11" customFormat="1" x14ac:dyDescent="0.3"/>
    <row r="31" spans="1:11" s="11" customFormat="1" x14ac:dyDescent="0.3"/>
    <row r="32" spans="1:11" s="11" customFormat="1" x14ac:dyDescent="0.3"/>
    <row r="33" s="11" customFormat="1" x14ac:dyDescent="0.3"/>
    <row r="34" s="11" customFormat="1" x14ac:dyDescent="0.3"/>
    <row r="35" s="11" customFormat="1" x14ac:dyDescent="0.3"/>
    <row r="36" s="11" customFormat="1" x14ac:dyDescent="0.3"/>
    <row r="37" s="11" customFormat="1" x14ac:dyDescent="0.3"/>
    <row r="38" s="11" customFormat="1" x14ac:dyDescent="0.3"/>
    <row r="39" s="11" customFormat="1" x14ac:dyDescent="0.3"/>
    <row r="40" s="11" customFormat="1" x14ac:dyDescent="0.3"/>
    <row r="41" s="11" customFormat="1" x14ac:dyDescent="0.3"/>
    <row r="42" s="11" customFormat="1" x14ac:dyDescent="0.3"/>
    <row r="43" s="11" customFormat="1" x14ac:dyDescent="0.3"/>
    <row r="44" s="11" customFormat="1" x14ac:dyDescent="0.3"/>
    <row r="45" s="11" customFormat="1" x14ac:dyDescent="0.3"/>
    <row r="46" s="11" customFormat="1" x14ac:dyDescent="0.3"/>
    <row r="47" s="11" customFormat="1" x14ac:dyDescent="0.3"/>
    <row r="48" s="11" customFormat="1" x14ac:dyDescent="0.3"/>
    <row r="49" s="11" customFormat="1" x14ac:dyDescent="0.3"/>
    <row r="50" s="11" customFormat="1" x14ac:dyDescent="0.3"/>
    <row r="51" s="11" customFormat="1" x14ac:dyDescent="0.3"/>
    <row r="52" s="11" customFormat="1" x14ac:dyDescent="0.3"/>
    <row r="53" s="11" customFormat="1" x14ac:dyDescent="0.3"/>
    <row r="54" s="11" customFormat="1" x14ac:dyDescent="0.3"/>
    <row r="55" s="11" customFormat="1" x14ac:dyDescent="0.3"/>
    <row r="56" s="11" customFormat="1" x14ac:dyDescent="0.3"/>
    <row r="57" s="11" customFormat="1" x14ac:dyDescent="0.3"/>
    <row r="58" s="11" customFormat="1" x14ac:dyDescent="0.3"/>
    <row r="59" s="11" customFormat="1" x14ac:dyDescent="0.3"/>
    <row r="60" s="11" customFormat="1" x14ac:dyDescent="0.3"/>
    <row r="61" s="11" customFormat="1" x14ac:dyDescent="0.3"/>
    <row r="62" s="11" customFormat="1" x14ac:dyDescent="0.3"/>
    <row r="63" s="11" customFormat="1" x14ac:dyDescent="0.3"/>
    <row r="64" s="11" customFormat="1" x14ac:dyDescent="0.3"/>
    <row r="65" s="11" customFormat="1" x14ac:dyDescent="0.3"/>
    <row r="66" s="11" customFormat="1" x14ac:dyDescent="0.3"/>
    <row r="67" s="11" customFormat="1" x14ac:dyDescent="0.3"/>
    <row r="68" s="11" customFormat="1" x14ac:dyDescent="0.3"/>
    <row r="69" s="11" customForma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FCE1D-9D74-46C7-B4E8-E3B0CF2B19BD}">
  <dimension ref="A1:K69"/>
  <sheetViews>
    <sheetView tabSelected="1" workbookViewId="0">
      <selection activeCell="L8" sqref="L8"/>
    </sheetView>
  </sheetViews>
  <sheetFormatPr defaultRowHeight="14.4" x14ac:dyDescent="0.3"/>
  <cols>
    <col min="1" max="1" width="28" bestFit="1" customWidth="1"/>
    <col min="2" max="2" width="12" bestFit="1" customWidth="1"/>
    <col min="3" max="3" width="18" bestFit="1" customWidth="1"/>
    <col min="4" max="4" width="20.21875" bestFit="1" customWidth="1"/>
    <col min="5" max="5" width="28" bestFit="1" customWidth="1"/>
    <col min="6" max="6" width="16.5546875" bestFit="1" customWidth="1"/>
    <col min="7" max="8" width="12" bestFit="1" customWidth="1"/>
  </cols>
  <sheetData>
    <row r="1" spans="1:11" x14ac:dyDescent="0.3">
      <c r="A1" t="s">
        <v>0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 spans="1:11" x14ac:dyDescent="0.3">
      <c r="A2" t="s">
        <v>53</v>
      </c>
      <c r="B2" s="12">
        <v>1.9318749999999784E-2</v>
      </c>
      <c r="C2" s="12">
        <v>3.0134374999999981E-2</v>
      </c>
      <c r="D2" s="12">
        <v>2.4058219178081923E-4</v>
      </c>
      <c r="E2" s="12">
        <v>3.7527241594022395E-4</v>
      </c>
      <c r="F2" s="12">
        <v>5.063917743868513E-2</v>
      </c>
      <c r="G2" s="12">
        <v>5.269981024633736E-2</v>
      </c>
      <c r="H2" s="12">
        <v>1.5350329788032972E-2</v>
      </c>
    </row>
    <row r="3" spans="1:11" x14ac:dyDescent="0.3">
      <c r="A3" t="s">
        <v>66</v>
      </c>
      <c r="B3" s="12">
        <v>4.0654843749999864E-2</v>
      </c>
      <c r="C3" s="12">
        <v>4.8695468749999873E-2</v>
      </c>
      <c r="D3" s="12">
        <v>5.0628697073474302E-4</v>
      </c>
      <c r="E3" s="12">
        <v>6.0641928704856631E-4</v>
      </c>
      <c r="F3" s="12">
        <v>5.3021023821285304E-2</v>
      </c>
      <c r="G3" s="12">
        <v>6.5485444771743936E-2</v>
      </c>
      <c r="H3" s="12">
        <v>2.46763671281841E-2</v>
      </c>
    </row>
    <row r="4" spans="1:11" x14ac:dyDescent="0.3">
      <c r="A4" t="s">
        <v>67</v>
      </c>
      <c r="B4" s="12">
        <v>4.2508124999999931E-2</v>
      </c>
      <c r="C4" s="12">
        <v>5.5076874999999796E-2</v>
      </c>
      <c r="D4" s="12">
        <v>5.2936643835616352E-4</v>
      </c>
      <c r="E4" s="12">
        <v>6.8588885429638608E-4</v>
      </c>
      <c r="F4" s="12">
        <v>6.4660507012266125E-2</v>
      </c>
      <c r="G4" s="12">
        <v>7.5674371719600217E-2</v>
      </c>
      <c r="H4" s="12">
        <v>3.2258921200309432E-2</v>
      </c>
    </row>
    <row r="5" spans="1:11" x14ac:dyDescent="0.3">
      <c r="A5" t="s">
        <v>47</v>
      </c>
      <c r="B5" s="12">
        <v>1.3435937499999669E-2</v>
      </c>
      <c r="C5" s="12">
        <v>5.8504687500000215E-2</v>
      </c>
      <c r="D5" s="12">
        <v>1.6732176214196351E-4</v>
      </c>
      <c r="E5" s="12">
        <v>7.2857643212951705E-4</v>
      </c>
      <c r="F5" s="12">
        <v>7.9189978305733252E-2</v>
      </c>
      <c r="G5" s="12">
        <v>7.7843665696461742E-2</v>
      </c>
      <c r="H5" s="12">
        <v>4.5163653030732422E-2</v>
      </c>
    </row>
    <row r="6" spans="1:11" x14ac:dyDescent="0.3">
      <c r="A6" s="11"/>
      <c r="B6" s="11"/>
      <c r="C6" s="11"/>
      <c r="D6" s="11"/>
      <c r="E6" s="11"/>
      <c r="F6" s="11"/>
      <c r="G6" s="11"/>
      <c r="H6" s="11"/>
      <c r="K6" s="11"/>
    </row>
    <row r="7" spans="1:11" x14ac:dyDescent="0.3">
      <c r="A7" s="11"/>
      <c r="B7" s="11"/>
      <c r="C7" s="11"/>
      <c r="D7" s="11"/>
      <c r="E7" s="11"/>
      <c r="F7" s="11"/>
      <c r="G7" s="11"/>
      <c r="H7" s="11"/>
      <c r="K7" s="11"/>
    </row>
    <row r="8" spans="1:11" x14ac:dyDescent="0.3">
      <c r="A8" s="16" t="s">
        <v>119</v>
      </c>
      <c r="B8" s="11"/>
      <c r="C8" s="11"/>
      <c r="D8" s="11"/>
      <c r="E8" s="11"/>
      <c r="F8" s="11"/>
      <c r="G8" s="11"/>
      <c r="H8" s="11"/>
      <c r="K8" s="11"/>
    </row>
    <row r="9" spans="1:11" s="15" customFormat="1" x14ac:dyDescent="0.3">
      <c r="A9" s="17"/>
      <c r="B9" s="17" t="str" cm="1">
        <f t="array" ref="B9:E9">TRANSPOSE(A2:A5)</f>
        <v>FAST-LIO2</v>
      </c>
      <c r="C9" s="17" t="str">
        <v>LIO-SAM</v>
      </c>
      <c r="D9" s="17" t="str">
        <v>Point-LIO</v>
      </c>
      <c r="E9" s="17" t="str">
        <v>LIO-Livox</v>
      </c>
      <c r="F9" s="17"/>
      <c r="G9" s="17"/>
      <c r="H9" s="17"/>
      <c r="K9" s="17"/>
    </row>
    <row r="10" spans="1:11" x14ac:dyDescent="0.3">
      <c r="A10" s="9" t="str" cm="1">
        <f t="array" ref="A10:A16">TRANSPOSE(B1:H1)</f>
        <v>Mean Error</v>
      </c>
      <c r="B10" s="11">
        <v>1.9300000000000001E-2</v>
      </c>
      <c r="C10" s="11">
        <v>4.07E-2</v>
      </c>
      <c r="D10" s="11">
        <v>4.2500000000000003E-2</v>
      </c>
      <c r="E10" s="11">
        <v>1.34E-2</v>
      </c>
      <c r="F10" s="11"/>
      <c r="G10" s="11"/>
      <c r="H10" s="11"/>
      <c r="K10" s="11"/>
    </row>
    <row r="11" spans="1:11" x14ac:dyDescent="0.3">
      <c r="A11" s="9" t="str">
        <v>Mean Absolute Error</v>
      </c>
      <c r="B11" s="11">
        <v>3.0099999999999998E-2</v>
      </c>
      <c r="C11" s="11">
        <v>4.87E-2</v>
      </c>
      <c r="D11" s="11">
        <v>5.5100000000000003E-2</v>
      </c>
      <c r="E11" s="11">
        <v>5.8500000000000003E-2</v>
      </c>
      <c r="F11" s="11"/>
      <c r="G11" s="11"/>
      <c r="H11" s="11"/>
      <c r="K11" s="11"/>
    </row>
    <row r="12" spans="1:11" x14ac:dyDescent="0.3">
      <c r="A12" s="9" t="str">
        <v>Normalized Mean Error</v>
      </c>
      <c r="B12" s="11">
        <v>2.0000000000000001E-4</v>
      </c>
      <c r="C12" s="11">
        <v>5.0000000000000001E-4</v>
      </c>
      <c r="D12" s="11">
        <v>5.0000000000000001E-4</v>
      </c>
      <c r="E12" s="11">
        <v>2.0000000000000001E-4</v>
      </c>
      <c r="F12" s="11"/>
      <c r="G12" s="11"/>
      <c r="H12" s="11"/>
      <c r="K12" s="11"/>
    </row>
    <row r="13" spans="1:11" x14ac:dyDescent="0.3">
      <c r="A13" s="9" t="str">
        <v>Normalized Mean Absolute Error</v>
      </c>
      <c r="B13" s="11">
        <v>4.0000000000000002E-4</v>
      </c>
      <c r="C13" s="11">
        <v>5.9999999999999995E-4</v>
      </c>
      <c r="D13" s="11">
        <v>6.9999999999999999E-4</v>
      </c>
      <c r="E13" s="11">
        <v>6.9999999999999999E-4</v>
      </c>
      <c r="F13" s="11"/>
      <c r="G13" s="11"/>
      <c r="H13" s="11"/>
      <c r="K13" s="11"/>
    </row>
    <row r="14" spans="1:11" x14ac:dyDescent="0.3">
      <c r="A14" s="9" t="str">
        <v>Standard Deviation</v>
      </c>
      <c r="B14" s="11">
        <v>5.0599999999999999E-2</v>
      </c>
      <c r="C14" s="11">
        <v>5.2999999999999999E-2</v>
      </c>
      <c r="D14" s="11">
        <v>6.4699999999999994E-2</v>
      </c>
      <c r="E14" s="11">
        <v>7.9200000000000007E-2</v>
      </c>
      <c r="F14" s="11"/>
      <c r="G14" s="11"/>
      <c r="H14" s="11"/>
      <c r="K14" s="11"/>
    </row>
    <row r="15" spans="1:11" x14ac:dyDescent="0.3">
      <c r="A15" s="9" t="str">
        <v>RMSE</v>
      </c>
      <c r="B15" s="11">
        <v>5.2699999999999997E-2</v>
      </c>
      <c r="C15" s="11">
        <v>6.5500000000000003E-2</v>
      </c>
      <c r="D15" s="11">
        <v>7.5700000000000003E-2</v>
      </c>
      <c r="E15" s="11">
        <v>7.7799999999999994E-2</v>
      </c>
      <c r="F15" s="11"/>
      <c r="G15" s="11"/>
      <c r="H15" s="11"/>
      <c r="K15" s="11"/>
    </row>
    <row r="16" spans="1:11" x14ac:dyDescent="0.3">
      <c r="A16" s="9" t="str">
        <v>RMSRE</v>
      </c>
      <c r="B16" s="11">
        <v>1.54E-2</v>
      </c>
      <c r="C16" s="11">
        <v>2.47E-2</v>
      </c>
      <c r="D16" s="11">
        <v>3.2300000000000002E-2</v>
      </c>
      <c r="E16" s="11">
        <v>4.5199999999999997E-2</v>
      </c>
      <c r="F16" s="11"/>
      <c r="G16" s="11"/>
      <c r="H16" s="11"/>
      <c r="K16" s="11"/>
    </row>
    <row r="17" spans="1:11" x14ac:dyDescent="0.3">
      <c r="A17" s="11"/>
      <c r="B17" s="11"/>
      <c r="C17" s="11"/>
      <c r="D17" s="11"/>
      <c r="E17" s="11"/>
      <c r="F17" s="11"/>
      <c r="G17" s="11"/>
      <c r="H17" s="11"/>
      <c r="K17" s="11"/>
    </row>
    <row r="18" spans="1:11" x14ac:dyDescent="0.3">
      <c r="A18" s="11"/>
      <c r="B18" s="11"/>
      <c r="C18" s="11"/>
      <c r="D18" s="11"/>
      <c r="E18" s="11"/>
      <c r="F18" s="11"/>
      <c r="G18" s="11"/>
      <c r="H18" s="11"/>
      <c r="K18" s="11"/>
    </row>
    <row r="19" spans="1:11" x14ac:dyDescent="0.3">
      <c r="A19" s="11"/>
      <c r="B19" s="11"/>
      <c r="C19" s="11"/>
      <c r="D19" s="11"/>
      <c r="E19" s="11"/>
      <c r="F19" s="11"/>
      <c r="G19" s="11"/>
      <c r="H19" s="11"/>
      <c r="K19" s="11"/>
    </row>
    <row r="20" spans="1:11" x14ac:dyDescent="0.3">
      <c r="A20" s="11"/>
      <c r="B20" s="11"/>
      <c r="C20" s="11"/>
      <c r="D20" s="11"/>
      <c r="E20" s="11"/>
      <c r="F20" s="11"/>
      <c r="G20" s="11"/>
      <c r="H20" s="11"/>
      <c r="K20" s="11"/>
    </row>
    <row r="21" spans="1:11" x14ac:dyDescent="0.3">
      <c r="A21" s="11"/>
      <c r="B21" s="11"/>
      <c r="C21" s="11"/>
      <c r="D21" s="11"/>
      <c r="E21" s="11"/>
      <c r="F21" s="11"/>
      <c r="G21" s="11"/>
      <c r="H21" s="11"/>
      <c r="K21" s="11"/>
    </row>
    <row r="22" spans="1:11" x14ac:dyDescent="0.3">
      <c r="A22" s="11"/>
      <c r="B22" s="11"/>
      <c r="C22" s="11"/>
      <c r="D22" s="11"/>
      <c r="E22" s="11"/>
      <c r="F22" s="11"/>
      <c r="G22" s="11"/>
      <c r="H22" s="11"/>
      <c r="K22" s="11"/>
    </row>
    <row r="23" spans="1:11" x14ac:dyDescent="0.3">
      <c r="A23" s="11"/>
      <c r="B23" s="11"/>
      <c r="C23" s="11"/>
      <c r="D23" s="11"/>
      <c r="E23" s="11"/>
      <c r="F23" s="11"/>
      <c r="G23" s="11"/>
      <c r="H23" s="11"/>
      <c r="K23" s="11"/>
    </row>
    <row r="24" spans="1:11" x14ac:dyDescent="0.3">
      <c r="A24" s="11"/>
      <c r="B24" s="11"/>
      <c r="C24" s="11"/>
      <c r="D24" s="11"/>
      <c r="E24" s="11"/>
      <c r="F24" s="11"/>
      <c r="G24" s="11"/>
      <c r="H24" s="11"/>
      <c r="K24" s="11"/>
    </row>
    <row r="25" spans="1:11" x14ac:dyDescent="0.3">
      <c r="A25" s="11"/>
      <c r="B25" s="11"/>
      <c r="C25" s="11"/>
      <c r="D25" s="11"/>
      <c r="E25" s="11"/>
      <c r="F25" s="11"/>
      <c r="G25" s="11"/>
      <c r="H25" s="11"/>
      <c r="K25" s="11"/>
    </row>
    <row r="26" spans="1:11" x14ac:dyDescent="0.3">
      <c r="A26" s="11"/>
      <c r="B26" s="11"/>
      <c r="C26" s="11"/>
      <c r="D26" s="11"/>
      <c r="E26" s="11"/>
      <c r="F26" s="11"/>
      <c r="G26" s="11"/>
      <c r="H26" s="11"/>
      <c r="K26" s="11"/>
    </row>
    <row r="27" spans="1:11" x14ac:dyDescent="0.3">
      <c r="A27" s="11"/>
      <c r="B27" s="11"/>
      <c r="C27" s="11"/>
      <c r="D27" s="11"/>
      <c r="E27" s="11"/>
      <c r="F27" s="11"/>
      <c r="G27" s="11"/>
      <c r="H27" s="11"/>
      <c r="K27" s="11"/>
    </row>
    <row r="28" spans="1:11" x14ac:dyDescent="0.3">
      <c r="A28" s="11"/>
      <c r="B28" s="11"/>
      <c r="C28" s="11"/>
      <c r="D28" s="11"/>
      <c r="E28" s="11"/>
      <c r="F28" s="11"/>
      <c r="G28" s="11"/>
      <c r="H28" s="11"/>
      <c r="K28" s="11"/>
    </row>
    <row r="29" spans="1:11" x14ac:dyDescent="0.3">
      <c r="A29" s="11"/>
      <c r="B29" s="11"/>
      <c r="C29" s="11"/>
      <c r="D29" s="11"/>
      <c r="E29" s="11"/>
      <c r="F29" s="11"/>
      <c r="G29" s="11"/>
      <c r="H29" s="11"/>
      <c r="K29" s="11"/>
    </row>
    <row r="30" spans="1:11" x14ac:dyDescent="0.3">
      <c r="A30" s="11"/>
      <c r="B30" s="11"/>
      <c r="C30" s="11"/>
      <c r="D30" s="11"/>
      <c r="E30" s="11"/>
      <c r="F30" s="11"/>
      <c r="G30" s="11"/>
      <c r="H30" s="11"/>
      <c r="K30" s="11"/>
    </row>
    <row r="31" spans="1:11" x14ac:dyDescent="0.3">
      <c r="A31" s="11"/>
      <c r="B31" s="11"/>
      <c r="C31" s="11"/>
      <c r="D31" s="11"/>
      <c r="E31" s="11"/>
      <c r="F31" s="11"/>
      <c r="G31" s="11"/>
      <c r="H31" s="11"/>
      <c r="K31" s="11"/>
    </row>
    <row r="32" spans="1:11" x14ac:dyDescent="0.3">
      <c r="A32" s="11"/>
      <c r="B32" s="11"/>
      <c r="C32" s="11"/>
      <c r="D32" s="11"/>
      <c r="E32" s="11"/>
      <c r="F32" s="11"/>
      <c r="G32" s="11"/>
      <c r="H32" s="11"/>
      <c r="K32" s="11"/>
    </row>
    <row r="33" spans="1:11" x14ac:dyDescent="0.3">
      <c r="A33" s="11"/>
      <c r="B33" s="11"/>
      <c r="C33" s="11"/>
      <c r="D33" s="11"/>
      <c r="E33" s="11"/>
      <c r="F33" s="11"/>
      <c r="G33" s="11"/>
      <c r="H33" s="11"/>
      <c r="K33" s="11"/>
    </row>
    <row r="34" spans="1:11" x14ac:dyDescent="0.3">
      <c r="A34" s="11"/>
      <c r="B34" s="11"/>
      <c r="C34" s="11"/>
      <c r="D34" s="11"/>
      <c r="E34" s="11"/>
      <c r="F34" s="11"/>
      <c r="G34" s="11"/>
      <c r="H34" s="11"/>
      <c r="K34" s="11"/>
    </row>
    <row r="35" spans="1:11" x14ac:dyDescent="0.3">
      <c r="A35" s="11"/>
      <c r="B35" s="11"/>
      <c r="C35" s="11"/>
      <c r="D35" s="11"/>
      <c r="E35" s="11"/>
      <c r="F35" s="11"/>
      <c r="G35" s="11"/>
      <c r="H35" s="11"/>
      <c r="K35" s="11"/>
    </row>
    <row r="36" spans="1:11" x14ac:dyDescent="0.3">
      <c r="A36" s="11"/>
      <c r="B36" s="11"/>
      <c r="C36" s="11"/>
      <c r="D36" s="11"/>
      <c r="E36" s="11"/>
      <c r="F36" s="11"/>
      <c r="G36" s="11"/>
      <c r="H36" s="11"/>
      <c r="K36" s="11"/>
    </row>
    <row r="37" spans="1:11" x14ac:dyDescent="0.3">
      <c r="A37" s="11"/>
      <c r="B37" s="11"/>
      <c r="C37" s="11"/>
      <c r="D37" s="11"/>
      <c r="E37" s="11"/>
      <c r="F37" s="11"/>
      <c r="G37" s="11"/>
      <c r="H37" s="11"/>
      <c r="K37" s="11"/>
    </row>
    <row r="38" spans="1:11" x14ac:dyDescent="0.3">
      <c r="A38" s="11"/>
      <c r="B38" s="11"/>
      <c r="C38" s="11"/>
      <c r="D38" s="11"/>
      <c r="E38" s="11"/>
      <c r="F38" s="11"/>
      <c r="G38" s="11"/>
      <c r="H38" s="11"/>
      <c r="K38" s="11"/>
    </row>
    <row r="39" spans="1:11" x14ac:dyDescent="0.3">
      <c r="A39" s="11"/>
      <c r="B39" s="11"/>
      <c r="C39" s="11"/>
      <c r="D39" s="11"/>
      <c r="E39" s="11"/>
      <c r="F39" s="11"/>
      <c r="G39" s="11"/>
      <c r="H39" s="11"/>
      <c r="K39" s="11"/>
    </row>
    <row r="40" spans="1:11" x14ac:dyDescent="0.3">
      <c r="A40" s="11"/>
      <c r="B40" s="11"/>
      <c r="C40" s="11"/>
      <c r="D40" s="11"/>
      <c r="E40" s="11"/>
      <c r="F40" s="11"/>
      <c r="G40" s="11"/>
      <c r="H40" s="11"/>
      <c r="K40" s="11"/>
    </row>
    <row r="41" spans="1:11" x14ac:dyDescent="0.3">
      <c r="A41" s="11"/>
      <c r="B41" s="11"/>
      <c r="C41" s="11"/>
      <c r="D41" s="11"/>
      <c r="E41" s="11"/>
      <c r="F41" s="11"/>
      <c r="G41" s="11"/>
      <c r="H41" s="11"/>
      <c r="K41" s="11"/>
    </row>
    <row r="42" spans="1:11" x14ac:dyDescent="0.3">
      <c r="A42" s="11"/>
      <c r="B42" s="11"/>
      <c r="C42" s="11"/>
      <c r="D42" s="11"/>
      <c r="E42" s="11"/>
      <c r="F42" s="11"/>
      <c r="G42" s="11"/>
      <c r="H42" s="11"/>
      <c r="K42" s="11"/>
    </row>
    <row r="43" spans="1:11" x14ac:dyDescent="0.3">
      <c r="A43" s="11"/>
      <c r="B43" s="11"/>
      <c r="C43" s="11"/>
      <c r="D43" s="11"/>
      <c r="E43" s="11"/>
      <c r="F43" s="11"/>
      <c r="G43" s="11"/>
      <c r="H43" s="11"/>
      <c r="K43" s="11"/>
    </row>
    <row r="44" spans="1:11" x14ac:dyDescent="0.3">
      <c r="A44" s="11"/>
      <c r="B44" s="11"/>
      <c r="C44" s="11"/>
      <c r="D44" s="11"/>
      <c r="E44" s="11"/>
      <c r="F44" s="11"/>
      <c r="G44" s="11"/>
      <c r="H44" s="11"/>
      <c r="K44" s="11"/>
    </row>
    <row r="45" spans="1:11" x14ac:dyDescent="0.3">
      <c r="A45" s="11"/>
      <c r="B45" s="11"/>
      <c r="C45" s="11"/>
      <c r="D45" s="11"/>
      <c r="E45" s="11"/>
      <c r="F45" s="11"/>
      <c r="G45" s="11"/>
      <c r="H45" s="11"/>
      <c r="K45" s="11"/>
    </row>
    <row r="46" spans="1:11" x14ac:dyDescent="0.3">
      <c r="A46" s="11"/>
      <c r="B46" s="11"/>
      <c r="C46" s="11"/>
      <c r="D46" s="11"/>
      <c r="E46" s="11"/>
      <c r="F46" s="11"/>
      <c r="G46" s="11"/>
      <c r="H46" s="11"/>
      <c r="K46" s="11"/>
    </row>
    <row r="47" spans="1:11" x14ac:dyDescent="0.3">
      <c r="A47" s="11"/>
      <c r="B47" s="11"/>
      <c r="C47" s="11"/>
      <c r="D47" s="11"/>
      <c r="E47" s="11"/>
      <c r="F47" s="11"/>
      <c r="G47" s="11"/>
      <c r="H47" s="11"/>
      <c r="K47" s="11"/>
    </row>
    <row r="48" spans="1:11" x14ac:dyDescent="0.3">
      <c r="A48" s="11"/>
      <c r="B48" s="11"/>
      <c r="C48" s="11"/>
      <c r="D48" s="11"/>
      <c r="E48" s="11"/>
      <c r="F48" s="11"/>
      <c r="G48" s="11"/>
      <c r="H48" s="11"/>
      <c r="K48" s="11"/>
    </row>
    <row r="49" spans="1:11" x14ac:dyDescent="0.3">
      <c r="A49" s="11"/>
      <c r="B49" s="11"/>
      <c r="C49" s="11"/>
      <c r="D49" s="11"/>
      <c r="E49" s="11"/>
      <c r="F49" s="11"/>
      <c r="G49" s="11"/>
      <c r="H49" s="11"/>
      <c r="K49" s="11"/>
    </row>
    <row r="50" spans="1:11" x14ac:dyDescent="0.3">
      <c r="A50" s="11"/>
      <c r="B50" s="11"/>
      <c r="C50" s="11"/>
      <c r="D50" s="11"/>
      <c r="E50" s="11"/>
      <c r="F50" s="11"/>
      <c r="G50" s="11"/>
      <c r="H50" s="11"/>
      <c r="K50" s="11"/>
    </row>
    <row r="51" spans="1:11" x14ac:dyDescent="0.3">
      <c r="A51" s="11"/>
      <c r="B51" s="11"/>
      <c r="C51" s="11"/>
      <c r="D51" s="11"/>
      <c r="E51" s="11"/>
      <c r="F51" s="11"/>
      <c r="G51" s="11"/>
      <c r="H51" s="11"/>
      <c r="K51" s="11"/>
    </row>
    <row r="52" spans="1:11" x14ac:dyDescent="0.3">
      <c r="A52" s="11"/>
      <c r="B52" s="11"/>
      <c r="C52" s="11"/>
      <c r="D52" s="11"/>
      <c r="E52" s="11"/>
      <c r="F52" s="11"/>
      <c r="G52" s="11"/>
      <c r="H52" s="11"/>
      <c r="K52" s="11"/>
    </row>
    <row r="53" spans="1:11" x14ac:dyDescent="0.3">
      <c r="A53" s="11"/>
      <c r="B53" s="11"/>
      <c r="C53" s="11"/>
      <c r="D53" s="11"/>
      <c r="E53" s="11"/>
      <c r="F53" s="11"/>
      <c r="G53" s="11"/>
      <c r="H53" s="11"/>
      <c r="K53" s="11"/>
    </row>
    <row r="54" spans="1:11" x14ac:dyDescent="0.3">
      <c r="A54" s="11"/>
      <c r="B54" s="11"/>
      <c r="C54" s="11"/>
      <c r="D54" s="11"/>
      <c r="E54" s="11"/>
      <c r="F54" s="11"/>
      <c r="G54" s="11"/>
      <c r="H54" s="11"/>
      <c r="K54" s="11"/>
    </row>
    <row r="55" spans="1:11" x14ac:dyDescent="0.3">
      <c r="A55" s="11"/>
      <c r="B55" s="11"/>
      <c r="C55" s="11"/>
      <c r="D55" s="11"/>
      <c r="E55" s="11"/>
      <c r="F55" s="11"/>
      <c r="G55" s="11"/>
      <c r="H55" s="11"/>
      <c r="K55" s="11"/>
    </row>
    <row r="56" spans="1:11" x14ac:dyDescent="0.3">
      <c r="A56" s="11"/>
      <c r="B56" s="11"/>
      <c r="C56" s="11"/>
      <c r="D56" s="11"/>
      <c r="E56" s="11"/>
      <c r="F56" s="11"/>
      <c r="G56" s="11"/>
      <c r="H56" s="11"/>
      <c r="K56" s="11"/>
    </row>
    <row r="57" spans="1:11" x14ac:dyDescent="0.3">
      <c r="A57" s="11"/>
      <c r="B57" s="11"/>
      <c r="C57" s="11"/>
      <c r="D57" s="11"/>
      <c r="E57" s="11"/>
      <c r="F57" s="11"/>
      <c r="G57" s="11"/>
      <c r="H57" s="11"/>
      <c r="K57" s="11"/>
    </row>
    <row r="58" spans="1:11" x14ac:dyDescent="0.3">
      <c r="A58" s="11"/>
      <c r="B58" s="11"/>
      <c r="C58" s="11"/>
      <c r="D58" s="11"/>
      <c r="E58" s="11"/>
      <c r="F58" s="11"/>
      <c r="G58" s="11"/>
      <c r="H58" s="11"/>
      <c r="K58" s="11"/>
    </row>
    <row r="59" spans="1:11" x14ac:dyDescent="0.3">
      <c r="A59" s="11"/>
      <c r="B59" s="11"/>
      <c r="C59" s="11"/>
      <c r="D59" s="11"/>
      <c r="E59" s="11"/>
      <c r="F59" s="11"/>
      <c r="G59" s="11"/>
      <c r="H59" s="11"/>
      <c r="K59" s="11"/>
    </row>
    <row r="60" spans="1:11" x14ac:dyDescent="0.3">
      <c r="A60" s="11"/>
      <c r="B60" s="11"/>
      <c r="C60" s="11"/>
      <c r="D60" s="11"/>
      <c r="E60" s="11"/>
      <c r="F60" s="11"/>
      <c r="G60" s="11"/>
      <c r="H60" s="11"/>
      <c r="K60" s="11"/>
    </row>
    <row r="61" spans="1:11" x14ac:dyDescent="0.3">
      <c r="A61" s="11"/>
      <c r="B61" s="11"/>
      <c r="C61" s="11"/>
      <c r="D61" s="11"/>
      <c r="E61" s="11"/>
      <c r="F61" s="11"/>
      <c r="G61" s="11"/>
      <c r="H61" s="11"/>
      <c r="K61" s="11"/>
    </row>
    <row r="62" spans="1:11" x14ac:dyDescent="0.3">
      <c r="A62" s="11"/>
      <c r="B62" s="11"/>
      <c r="C62" s="11"/>
      <c r="D62" s="11"/>
      <c r="E62" s="11"/>
      <c r="F62" s="11"/>
      <c r="G62" s="11"/>
      <c r="H62" s="11"/>
      <c r="K62" s="11"/>
    </row>
    <row r="63" spans="1:11" x14ac:dyDescent="0.3">
      <c r="A63" s="11"/>
      <c r="B63" s="11"/>
      <c r="C63" s="11"/>
      <c r="D63" s="11"/>
      <c r="E63" s="11"/>
      <c r="F63" s="11"/>
      <c r="G63" s="11"/>
      <c r="H63" s="11"/>
      <c r="K63" s="11"/>
    </row>
    <row r="64" spans="1:11" x14ac:dyDescent="0.3">
      <c r="A64" s="11"/>
      <c r="B64" s="11"/>
      <c r="C64" s="11"/>
      <c r="D64" s="11"/>
      <c r="E64" s="11"/>
      <c r="F64" s="11"/>
      <c r="G64" s="11"/>
      <c r="H64" s="11"/>
      <c r="K64" s="11"/>
    </row>
    <row r="65" spans="1:11" x14ac:dyDescent="0.3">
      <c r="A65" s="11"/>
      <c r="B65" s="11"/>
      <c r="C65" s="11"/>
      <c r="D65" s="11"/>
      <c r="E65" s="11"/>
      <c r="F65" s="11"/>
      <c r="G65" s="11"/>
      <c r="H65" s="11"/>
      <c r="K65" s="11"/>
    </row>
    <row r="66" spans="1:11" x14ac:dyDescent="0.3">
      <c r="A66" s="11"/>
      <c r="B66" s="11"/>
      <c r="C66" s="11"/>
      <c r="D66" s="11"/>
      <c r="E66" s="11"/>
      <c r="F66" s="11"/>
      <c r="G66" s="11"/>
      <c r="H66" s="11"/>
      <c r="K66" s="11"/>
    </row>
    <row r="67" spans="1:11" x14ac:dyDescent="0.3">
      <c r="A67" s="11"/>
      <c r="B67" s="11"/>
      <c r="C67" s="11"/>
      <c r="D67" s="11"/>
      <c r="E67" s="11"/>
      <c r="F67" s="11"/>
      <c r="G67" s="11"/>
      <c r="H67" s="11"/>
      <c r="K67" s="11"/>
    </row>
    <row r="68" spans="1:11" x14ac:dyDescent="0.3">
      <c r="A68" s="11"/>
      <c r="B68" s="11"/>
      <c r="C68" s="11"/>
      <c r="D68" s="11"/>
      <c r="E68" s="11"/>
      <c r="F68" s="11"/>
      <c r="G68" s="11"/>
      <c r="H68" s="11"/>
      <c r="K68" s="11"/>
    </row>
    <row r="69" spans="1:11" x14ac:dyDescent="0.3">
      <c r="A69" s="11"/>
      <c r="B69" s="11"/>
      <c r="C69" s="11"/>
      <c r="D69" s="11"/>
      <c r="E69" s="11"/>
      <c r="F69" s="11"/>
      <c r="G69" s="11"/>
      <c r="H69" s="11"/>
      <c r="K6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perMap</vt:lpstr>
      <vt:lpstr>perSite</vt:lpstr>
      <vt:lpstr>IVSO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 Joseph</cp:lastModifiedBy>
  <dcterms:created xsi:type="dcterms:W3CDTF">2015-06-05T18:17:20Z</dcterms:created>
  <dcterms:modified xsi:type="dcterms:W3CDTF">2026-06-26T00:44:58Z</dcterms:modified>
</cp:coreProperties>
</file>